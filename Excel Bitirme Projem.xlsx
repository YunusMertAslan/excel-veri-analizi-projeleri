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5810" windowHeight="3675"/>
  </bookViews>
  <sheets>
    <sheet name="Ana Sayfa" sheetId="1" r:id="rId1"/>
    <sheet name="Ürünler" sheetId="2" r:id="rId2"/>
    <sheet name="Satışlar" sheetId="3" r:id="rId3"/>
    <sheet name="Personeller" sheetId="4" r:id="rId4"/>
    <sheet name="Veri Tabani" sheetId="5" r:id="rId5"/>
  </sheets>
  <definedNames>
    <definedName name="Personeller">Personeller!$H$8:$H$13</definedName>
  </definedName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4" l="1"/>
  <c r="M9" i="4"/>
  <c r="M10" i="4"/>
  <c r="M11" i="4"/>
  <c r="M12" i="4"/>
  <c r="M13" i="4"/>
  <c r="L8" i="4"/>
  <c r="L9" i="4"/>
  <c r="L10" i="4"/>
  <c r="L11" i="4"/>
  <c r="L12" i="4"/>
  <c r="L13" i="4"/>
  <c r="N8" i="3"/>
  <c r="N9" i="3"/>
  <c r="P9" i="3" s="1"/>
  <c r="R9" i="3" s="1"/>
  <c r="N10" i="3"/>
  <c r="P10" i="3" s="1"/>
  <c r="R10" i="3" s="1"/>
  <c r="N11" i="3"/>
  <c r="P11" i="3" s="1"/>
  <c r="R11" i="3" s="1"/>
  <c r="N12" i="3"/>
  <c r="N13" i="3"/>
  <c r="P13" i="3" s="1"/>
  <c r="R13" i="3" s="1"/>
  <c r="N14" i="3"/>
  <c r="P14" i="3" s="1"/>
  <c r="R14" i="3" s="1"/>
  <c r="N15" i="3"/>
  <c r="N16" i="3"/>
  <c r="P16" i="3" s="1"/>
  <c r="R16" i="3" s="1"/>
  <c r="P8" i="3"/>
  <c r="R8" i="3" s="1"/>
  <c r="P12" i="3"/>
  <c r="R12" i="3" s="1"/>
  <c r="P15" i="3"/>
  <c r="R15" i="3" s="1"/>
  <c r="R7" i="3"/>
  <c r="P7" i="3"/>
  <c r="N7" i="3"/>
</calcChain>
</file>

<file path=xl/sharedStrings.xml><?xml version="1.0" encoding="utf-8"?>
<sst xmlns="http://schemas.openxmlformats.org/spreadsheetml/2006/main" count="139" uniqueCount="73">
  <si>
    <t>Ürün Markası</t>
  </si>
  <si>
    <t>Ürün Modeli</t>
  </si>
  <si>
    <t>Fiyat</t>
  </si>
  <si>
    <t>Stok Adedi</t>
  </si>
  <si>
    <t>Audi</t>
  </si>
  <si>
    <t>A3</t>
  </si>
  <si>
    <t>A4</t>
  </si>
  <si>
    <t>A5</t>
  </si>
  <si>
    <t>Hyundai</t>
  </si>
  <si>
    <t>i20</t>
  </si>
  <si>
    <t>Tucson</t>
  </si>
  <si>
    <t>Nissan</t>
  </si>
  <si>
    <t>Micra</t>
  </si>
  <si>
    <t>Qashqhai</t>
  </si>
  <si>
    <t>X-Trail</t>
  </si>
  <si>
    <t>Opel</t>
  </si>
  <si>
    <t>Corsa</t>
  </si>
  <si>
    <t>Astra</t>
  </si>
  <si>
    <t>Insignia</t>
  </si>
  <si>
    <t>Corsa-e</t>
  </si>
  <si>
    <t>Tarih</t>
  </si>
  <si>
    <t>Satış Personeli</t>
  </si>
  <si>
    <t>Müşteri Adı</t>
  </si>
  <si>
    <t>Müşteri Konumu</t>
  </si>
  <si>
    <t>Marka</t>
  </si>
  <si>
    <t>Modeli</t>
  </si>
  <si>
    <t>Liste Fiyatı</t>
  </si>
  <si>
    <t>İskonto</t>
  </si>
  <si>
    <t>Satış Fiyatı</t>
  </si>
  <si>
    <t>Adet</t>
  </si>
  <si>
    <t>Toplam Tutar</t>
  </si>
  <si>
    <t>Ad Soyad</t>
  </si>
  <si>
    <t>Bölge</t>
  </si>
  <si>
    <t>Prim Limiti</t>
  </si>
  <si>
    <t>Prim Yüzdesi</t>
  </si>
  <si>
    <t>Emre Akyüz</t>
  </si>
  <si>
    <t>Ege</t>
  </si>
  <si>
    <t>Ahmet Yavuz</t>
  </si>
  <si>
    <t>Aslı Kara</t>
  </si>
  <si>
    <t>Marmara</t>
  </si>
  <si>
    <t>Akif Karaca</t>
  </si>
  <si>
    <t>Ayça Karakuzu</t>
  </si>
  <si>
    <t>Zeynep Yılmaz</t>
  </si>
  <si>
    <t>Karadeniz</t>
  </si>
  <si>
    <t>Toplam Satış Tutarı</t>
  </si>
  <si>
    <t>Hak Edilen Prim</t>
  </si>
  <si>
    <t>Ahmet Tekin</t>
  </si>
  <si>
    <t>İzmir</t>
  </si>
  <si>
    <t>Emre  Ağmil</t>
  </si>
  <si>
    <t>Betül  Alpaslan</t>
  </si>
  <si>
    <t>Bekir  Çolak</t>
  </si>
  <si>
    <t>Ankara</t>
  </si>
  <si>
    <t>Emine  Karahan</t>
  </si>
  <si>
    <t>Erzurum</t>
  </si>
  <si>
    <t>Ayça Ersoy</t>
  </si>
  <si>
    <t>Trabzon</t>
  </si>
  <si>
    <t>Emre  Saydık</t>
  </si>
  <si>
    <t>Bursa</t>
  </si>
  <si>
    <t>Arif Bilen</t>
  </si>
  <si>
    <t>Deniz Karahan</t>
  </si>
  <si>
    <t>İstanbul</t>
  </si>
  <si>
    <t>Berat El</t>
  </si>
  <si>
    <t>Satır Etiketleri</t>
  </si>
  <si>
    <t>Genel Toplam</t>
  </si>
  <si>
    <t>Toplam Toplam Tutar</t>
  </si>
  <si>
    <t>Toplam Adet</t>
  </si>
  <si>
    <t>"</t>
  </si>
  <si>
    <t>Oca</t>
  </si>
  <si>
    <t>Şub</t>
  </si>
  <si>
    <t>Mar</t>
  </si>
  <si>
    <t>Ağu</t>
  </si>
  <si>
    <t>Eyl</t>
  </si>
  <si>
    <t>Eki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</si>
</sst>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₺&quot;#,##0.0"/>
    <numFmt numFmtId="165" formatCode="&quot;₺&quot;#,##0"/>
  </numFmts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5" fontId="0" fillId="0" borderId="5" xfId="0" applyNumberFormat="1" applyBorder="1"/>
    <xf numFmtId="0" fontId="0" fillId="0" borderId="6" xfId="0" applyBorder="1"/>
    <xf numFmtId="0" fontId="0" fillId="0" borderId="2" xfId="0" applyFont="1" applyBorder="1"/>
    <xf numFmtId="165" fontId="0" fillId="0" borderId="2" xfId="0" applyNumberFormat="1" applyFont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10" fontId="0" fillId="0" borderId="0" xfId="0" applyNumberFormat="1"/>
    <xf numFmtId="10" fontId="0" fillId="0" borderId="2" xfId="0" applyNumberFormat="1" applyBorder="1"/>
    <xf numFmtId="10" fontId="0" fillId="0" borderId="2" xfId="0" applyNumberFormat="1" applyFont="1" applyBorder="1"/>
    <xf numFmtId="0" fontId="0" fillId="3" borderId="2" xfId="0" applyFill="1" applyBorder="1"/>
    <xf numFmtId="0" fontId="0" fillId="3" borderId="2" xfId="0" applyFont="1" applyFill="1" applyBorder="1"/>
    <xf numFmtId="165" fontId="0" fillId="3" borderId="2" xfId="0" applyNumberFormat="1" applyFont="1" applyFill="1" applyBorder="1"/>
    <xf numFmtId="10" fontId="0" fillId="3" borderId="2" xfId="0" applyNumberFormat="1" applyFont="1" applyFill="1" applyBorder="1"/>
    <xf numFmtId="0" fontId="0" fillId="0" borderId="1" xfId="0" applyFont="1" applyBorder="1"/>
    <xf numFmtId="0" fontId="0" fillId="3" borderId="1" xfId="0" applyFont="1" applyFill="1" applyBorder="1"/>
    <xf numFmtId="14" fontId="0" fillId="0" borderId="0" xfId="0" applyNumberFormat="1"/>
    <xf numFmtId="0" fontId="2" fillId="2" borderId="0" xfId="0" applyFont="1" applyFill="1"/>
    <xf numFmtId="14" fontId="0" fillId="0" borderId="2" xfId="0" applyNumberFormat="1" applyBorder="1"/>
    <xf numFmtId="14" fontId="0" fillId="0" borderId="5" xfId="0" applyNumberFormat="1" applyBorder="1"/>
    <xf numFmtId="165" fontId="0" fillId="0" borderId="0" xfId="0" applyNumberFormat="1" applyBorder="1"/>
    <xf numFmtId="10" fontId="0" fillId="0" borderId="0" xfId="0" applyNumberFormat="1" applyBorder="1"/>
    <xf numFmtId="0" fontId="0" fillId="0" borderId="0" xfId="0" applyBorder="1"/>
    <xf numFmtId="14" fontId="0" fillId="3" borderId="2" xfId="0" applyNumberFormat="1" applyFill="1" applyBorder="1"/>
    <xf numFmtId="164" fontId="0" fillId="0" borderId="3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4">
    <dxf>
      <numFmt numFmtId="164" formatCode="&quot;₺&quot;#,##0.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₺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&quot;₺&quot;#,##0"/>
    </dxf>
    <dxf>
      <numFmt numFmtId="165" formatCode="&quot;₺&quot;#,##0"/>
    </dxf>
    <dxf>
      <numFmt numFmtId="14" formatCode="0.00%"/>
    </dxf>
    <dxf>
      <numFmt numFmtId="165" formatCode="&quot;₺&quot;#,##0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₺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2F5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Bitirme Projem.xlsx]Veri Tabani!PivotTable1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tr-TR" b="1"/>
              <a:t>Personel</a:t>
            </a:r>
            <a:r>
              <a:rPr lang="tr-TR" b="1" baseline="0"/>
              <a:t> Satış Adedi - Satış Tutarı</a:t>
            </a:r>
            <a:endParaRPr lang="tr-T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tr-T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0303130932208366"/>
          <c:y val="0.10666666666666667"/>
          <c:w val="0.71596932492368781"/>
          <c:h val="0.772011548556430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'Veri Tabani'!$B$3</c:f>
              <c:strCache>
                <c:ptCount val="1"/>
                <c:pt idx="0">
                  <c:v>Toplam Toplam Tutar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'Veri Tabani'!$A$4:$A$8</c:f>
              <c:strCache>
                <c:ptCount val="4"/>
                <c:pt idx="0">
                  <c:v>Emre Akyüz</c:v>
                </c:pt>
                <c:pt idx="1">
                  <c:v>Akif Karaca</c:v>
                </c:pt>
                <c:pt idx="2">
                  <c:v>Zeynep Yılmaz</c:v>
                </c:pt>
                <c:pt idx="3">
                  <c:v>Ahmet Yavuz</c:v>
                </c:pt>
              </c:strCache>
            </c:strRef>
          </c:cat>
          <c:val>
            <c:numRef>
              <c:f>'Veri Tabani'!$B$4:$B$8</c:f>
              <c:numCache>
                <c:formatCode>"₺"#,##0</c:formatCode>
                <c:ptCount val="4"/>
                <c:pt idx="0">
                  <c:v>11692200</c:v>
                </c:pt>
                <c:pt idx="1">
                  <c:v>11481300</c:v>
                </c:pt>
                <c:pt idx="2">
                  <c:v>5257000</c:v>
                </c:pt>
                <c:pt idx="3">
                  <c:v>3779100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6-4406-94FF-AEDA61444351}"/>
            </c:ext>
          </c:extLst>
        </c:ser>
        <c:ser>
          <c:idx val="1"/>
          <c:order val="1"/>
          <c:tx>
            <c:strRef>
              <c:f>'Veri Tabani'!$C$3</c:f>
              <c:strCache>
                <c:ptCount val="1"/>
                <c:pt idx="0">
                  <c:v>Toplam Adet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'Veri Tabani'!$A$4:$A$8</c:f>
              <c:strCache>
                <c:ptCount val="4"/>
                <c:pt idx="0">
                  <c:v>Emre Akyüz</c:v>
                </c:pt>
                <c:pt idx="1">
                  <c:v>Akif Karaca</c:v>
                </c:pt>
                <c:pt idx="2">
                  <c:v>Zeynep Yılmaz</c:v>
                </c:pt>
                <c:pt idx="3">
                  <c:v>Ahmet Yavuz</c:v>
                </c:pt>
              </c:strCache>
            </c:strRef>
          </c:cat>
          <c:val>
            <c:numRef>
              <c:f>'Veri Tabani'!$C$4:$C$8</c:f>
              <c:numCache>
                <c:formatCode>General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6-4406-94FF-AEDA614443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1427985663"/>
        <c:axId val="1427986495"/>
      </c:barChart>
      <c:catAx>
        <c:axId val="14279856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7986495"/>
        <c:crosses val="autoZero"/>
        <c:auto val="1"/>
        <c:lblAlgn val="ctr"/>
        <c:lblOffset val="100"/>
        <c:noMultiLvlLbl val="0"/>
      </c:catAx>
      <c:valAx>
        <c:axId val="1427986495"/>
        <c:scaling>
          <c:orientation val="minMax"/>
        </c:scaling>
        <c:delete val="0"/>
        <c:axPos val="b"/>
        <c:numFmt formatCode="&quot;₺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798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Bitirme Projem.xlsx]Veri Tabani!PivotTable4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/>
              <a:t>Aylık</a:t>
            </a:r>
            <a:r>
              <a:rPr lang="tr-TR" b="1" baseline="0"/>
              <a:t> Satış Trendi - Adet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860705798514078"/>
          <c:y val="3.44569369682236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5568293250330551E-2"/>
          <c:y val="0.24197383985935059"/>
          <c:w val="0.93386260369213192"/>
          <c:h val="0.66672273832262541"/>
        </c:manualLayout>
      </c:layout>
      <c:lineChart>
        <c:grouping val="standard"/>
        <c:varyColors val="0"/>
        <c:ser>
          <c:idx val="0"/>
          <c:order val="0"/>
          <c:tx>
            <c:strRef>
              <c:f>'Veri Tabani'!$F$3</c:f>
              <c:strCache>
                <c:ptCount val="1"/>
                <c:pt idx="0">
                  <c:v>Toplam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'Veri Tabani'!$E$4:$E$10</c:f>
              <c:strCache>
                <c:ptCount val="6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Ağu</c:v>
                </c:pt>
                <c:pt idx="4">
                  <c:v>Eyl</c:v>
                </c:pt>
                <c:pt idx="5">
                  <c:v>Eki</c:v>
                </c:pt>
              </c:strCache>
            </c:strRef>
          </c:cat>
          <c:val>
            <c:numRef>
              <c:f>'Veri Tabani'!$F$4:$F$10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80-4E7B-B784-C75B34906F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626091727"/>
        <c:axId val="1626092559"/>
      </c:lineChart>
      <c:catAx>
        <c:axId val="162609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26092559"/>
        <c:crosses val="autoZero"/>
        <c:auto val="1"/>
        <c:lblAlgn val="ctr"/>
        <c:lblOffset val="100"/>
        <c:noMultiLvlLbl val="0"/>
      </c:catAx>
      <c:valAx>
        <c:axId val="1626092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2609172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Bitirme Projem.xlsx]Veri Tabani!PivotTable5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Marka</a:t>
            </a:r>
            <a:r>
              <a:rPr lang="tr-TR" baseline="0"/>
              <a:t> Dağılımı</a:t>
            </a:r>
          </a:p>
        </c:rich>
      </c:tx>
      <c:layout>
        <c:manualLayout>
          <c:xMode val="edge"/>
          <c:yMode val="edge"/>
          <c:x val="0.42565372144952984"/>
          <c:y val="3.5867448595874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'Veri Tabani'!$I$4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D7-4BD1-9229-4F70CDA336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D7-4BD1-9229-4F70CDA336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D7-4BD1-9229-4F70CDA336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D7-4BD1-9229-4F70CDA336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'Veri Tabani'!$H$5:$H$9</c:f>
              <c:strCache>
                <c:ptCount val="4"/>
                <c:pt idx="0">
                  <c:v>Audi</c:v>
                </c:pt>
                <c:pt idx="1">
                  <c:v>Hyundai</c:v>
                </c:pt>
                <c:pt idx="2">
                  <c:v>Nissan</c:v>
                </c:pt>
                <c:pt idx="3">
                  <c:v>Opel</c:v>
                </c:pt>
              </c:strCache>
            </c:strRef>
          </c:cat>
          <c:val>
            <c:numRef>
              <c:f>'Veri Tabani'!$I$5:$I$9</c:f>
              <c:numCache>
                <c:formatCode>General</c:formatCode>
                <c:ptCount val="4"/>
                <c:pt idx="0">
                  <c:v>11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D7-4BD1-9229-4F70CDA336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Bitirme Projem.xlsx]Veri Tabani!PivotTable6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Personel</a:t>
            </a:r>
            <a:r>
              <a:rPr lang="tr-TR" baseline="0"/>
              <a:t> Satış Dağılımı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'Veri Tabani'!$O$3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66-4646-BA7D-FE7D4EA2D8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66-4646-BA7D-FE7D4EA2D8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66-4646-BA7D-FE7D4EA2D8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66-4646-BA7D-FE7D4EA2D8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'Veri Tabani'!$N$4:$N$8</c:f>
              <c:strCache>
                <c:ptCount val="4"/>
                <c:pt idx="0">
                  <c:v>Ahmet Yavuz</c:v>
                </c:pt>
                <c:pt idx="1">
                  <c:v>Akif Karaca</c:v>
                </c:pt>
                <c:pt idx="2">
                  <c:v>Emre Akyüz</c:v>
                </c:pt>
                <c:pt idx="3">
                  <c:v>Zeynep Yılmaz</c:v>
                </c:pt>
              </c:strCache>
            </c:strRef>
          </c:cat>
          <c:val>
            <c:numRef>
              <c:f>'Veri Tabani'!$O$4:$O$8</c:f>
              <c:numCache>
                <c:formatCode>General</c:formatCode>
                <c:ptCount val="4"/>
                <c:pt idx="0">
                  <c:v>2</c:v>
                </c:pt>
                <c:pt idx="1">
                  <c:v>9</c:v>
                </c:pt>
                <c:pt idx="2">
                  <c:v>11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66-4646-BA7D-FE7D4EA2D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Bitirme Projem.xlsx]Veri Tabani!PivotTable1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71321920661305"/>
          <c:y val="6.4064064064064064E-2"/>
          <c:w val="0.7925949472032483"/>
          <c:h val="0.863069999132991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'Veri Tabani'!$B$3</c:f>
              <c:strCache>
                <c:ptCount val="1"/>
                <c:pt idx="0">
                  <c:v>Toplam Toplam Tutar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'Veri Tabani'!$A$4:$A$8</c:f>
              <c:strCache>
                <c:ptCount val="4"/>
                <c:pt idx="0">
                  <c:v>Emre Akyüz</c:v>
                </c:pt>
                <c:pt idx="1">
                  <c:v>Akif Karaca</c:v>
                </c:pt>
                <c:pt idx="2">
                  <c:v>Zeynep Yılmaz</c:v>
                </c:pt>
                <c:pt idx="3">
                  <c:v>Ahmet Yavuz</c:v>
                </c:pt>
              </c:strCache>
            </c:strRef>
          </c:cat>
          <c:val>
            <c:numRef>
              <c:f>'Veri Tabani'!$B$4:$B$8</c:f>
              <c:numCache>
                <c:formatCode>"₺"#,##0</c:formatCode>
                <c:ptCount val="4"/>
                <c:pt idx="0">
                  <c:v>11692200</c:v>
                </c:pt>
                <c:pt idx="1">
                  <c:v>11481300</c:v>
                </c:pt>
                <c:pt idx="2">
                  <c:v>5257000</c:v>
                </c:pt>
                <c:pt idx="3">
                  <c:v>3779100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1-4E42-8201-C8AD0CC90E05}"/>
            </c:ext>
          </c:extLst>
        </c:ser>
        <c:ser>
          <c:idx val="1"/>
          <c:order val="1"/>
          <c:tx>
            <c:strRef>
              <c:f>'Veri Tabani'!$C$3</c:f>
              <c:strCache>
                <c:ptCount val="1"/>
                <c:pt idx="0">
                  <c:v>Toplam Adet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'Veri Tabani'!$A$4:$A$8</c:f>
              <c:strCache>
                <c:ptCount val="4"/>
                <c:pt idx="0">
                  <c:v>Emre Akyüz</c:v>
                </c:pt>
                <c:pt idx="1">
                  <c:v>Akif Karaca</c:v>
                </c:pt>
                <c:pt idx="2">
                  <c:v>Zeynep Yılmaz</c:v>
                </c:pt>
                <c:pt idx="3">
                  <c:v>Ahmet Yavuz</c:v>
                </c:pt>
              </c:strCache>
            </c:strRef>
          </c:cat>
          <c:val>
            <c:numRef>
              <c:f>'Veri Tabani'!$C$4:$C$8</c:f>
              <c:numCache>
                <c:formatCode>General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1-4E42-8201-C8AD0CC90E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1427985663"/>
        <c:axId val="1427986495"/>
      </c:barChart>
      <c:catAx>
        <c:axId val="14279856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7986495"/>
        <c:crosses val="autoZero"/>
        <c:auto val="1"/>
        <c:lblAlgn val="ctr"/>
        <c:lblOffset val="100"/>
        <c:noMultiLvlLbl val="0"/>
      </c:catAx>
      <c:valAx>
        <c:axId val="1427986495"/>
        <c:scaling>
          <c:orientation val="minMax"/>
        </c:scaling>
        <c:delete val="0"/>
        <c:axPos val="b"/>
        <c:numFmt formatCode="&quot;₺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798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Bitirme Projem.xlsx]Veri Tabani!PivotTable4</c:name>
    <c:fmtId val="4"/>
  </c:pivotSource>
  <c:chart>
    <c:title>
      <c:layout>
        <c:manualLayout>
          <c:xMode val="edge"/>
          <c:yMode val="edge"/>
          <c:x val="1.1940815090421381E-2"/>
          <c:y val="0.283903788870109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803149606299214E-2"/>
          <c:y val="0.19486111111111112"/>
          <c:w val="0.90175240594925632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'Veri Tabani'!$F$3</c:f>
              <c:strCache>
                <c:ptCount val="1"/>
                <c:pt idx="0">
                  <c:v>Toplam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'Veri Tabani'!$E$4:$E$10</c:f>
              <c:strCache>
                <c:ptCount val="6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Ağu</c:v>
                </c:pt>
                <c:pt idx="4">
                  <c:v>Eyl</c:v>
                </c:pt>
                <c:pt idx="5">
                  <c:v>Eki</c:v>
                </c:pt>
              </c:strCache>
            </c:strRef>
          </c:cat>
          <c:val>
            <c:numRef>
              <c:f>'Veri Tabani'!$F$4:$F$10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2F-417B-B54A-477B09830A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626091727"/>
        <c:axId val="1626092559"/>
      </c:lineChart>
      <c:catAx>
        <c:axId val="162609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26092559"/>
        <c:crosses val="autoZero"/>
        <c:auto val="1"/>
        <c:lblAlgn val="ctr"/>
        <c:lblOffset val="100"/>
        <c:noMultiLvlLbl val="0"/>
      </c:catAx>
      <c:valAx>
        <c:axId val="1626092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2609172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Bitirme Projem.xlsx]Veri Tabani!PivotTable5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'Veri Tabani'!$I$4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CC-49E7-92A4-8722760B39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CC-49E7-92A4-8722760B39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CC-49E7-92A4-8722760B39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CC-49E7-92A4-8722760B39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'Veri Tabani'!$H$5:$H$9</c:f>
              <c:strCache>
                <c:ptCount val="4"/>
                <c:pt idx="0">
                  <c:v>Audi</c:v>
                </c:pt>
                <c:pt idx="1">
                  <c:v>Hyundai</c:v>
                </c:pt>
                <c:pt idx="2">
                  <c:v>Nissan</c:v>
                </c:pt>
                <c:pt idx="3">
                  <c:v>Opel</c:v>
                </c:pt>
              </c:strCache>
            </c:strRef>
          </c:cat>
          <c:val>
            <c:numRef>
              <c:f>'Veri Tabani'!$I$5:$I$9</c:f>
              <c:numCache>
                <c:formatCode>General</c:formatCode>
                <c:ptCount val="4"/>
                <c:pt idx="0">
                  <c:v>11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C-4699-8B11-C993C6855E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Bitirme Projem.xlsx]Veri Tabani!PivotTable6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'Veri Tabani'!$O$3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07-4AAC-8166-96CAA8EA20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07-4AAC-8166-96CAA8EA20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07-4AAC-8166-96CAA8EA20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07-4AAC-8166-96CAA8EA20DB}"/>
              </c:ext>
            </c:extLst>
          </c:dPt>
          <c:cat>
            <c:strRef>
              <c:f>'Veri Tabani'!$N$4:$N$8</c:f>
              <c:strCache>
                <c:ptCount val="4"/>
                <c:pt idx="0">
                  <c:v>Ahmet Yavuz</c:v>
                </c:pt>
                <c:pt idx="1">
                  <c:v>Akif Karaca</c:v>
                </c:pt>
                <c:pt idx="2">
                  <c:v>Emre Akyüz</c:v>
                </c:pt>
                <c:pt idx="3">
                  <c:v>Zeynep Yılmaz</c:v>
                </c:pt>
              </c:strCache>
            </c:strRef>
          </c:cat>
          <c:val>
            <c:numRef>
              <c:f>'Veri Tabani'!$O$4:$O$8</c:f>
              <c:numCache>
                <c:formatCode>General</c:formatCode>
                <c:ptCount val="4"/>
                <c:pt idx="0">
                  <c:v>2</c:v>
                </c:pt>
                <c:pt idx="1">
                  <c:v>9</c:v>
                </c:pt>
                <c:pt idx="2">
                  <c:v>11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A-47B6-9659-82231B5DC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hyperlink" Target="#Sat&#305;&#351;lar!A1"/><Relationship Id="rId7" Type="http://schemas.openxmlformats.org/officeDocument/2006/relationships/chart" Target="../charts/chart3.xml"/><Relationship Id="rId2" Type="http://schemas.openxmlformats.org/officeDocument/2006/relationships/hyperlink" Target="#&#220;r&#252;nler!A1"/><Relationship Id="rId1" Type="http://schemas.openxmlformats.org/officeDocument/2006/relationships/hyperlink" Target="#'Ana Sayfa'!A1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hyperlink" Target="#Personeller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Sat&#305;&#351;lar!A1"/><Relationship Id="rId2" Type="http://schemas.openxmlformats.org/officeDocument/2006/relationships/hyperlink" Target="#&#220;r&#252;nler!A1"/><Relationship Id="rId1" Type="http://schemas.openxmlformats.org/officeDocument/2006/relationships/hyperlink" Target="#'Ana Sayfa'!A1"/><Relationship Id="rId4" Type="http://schemas.openxmlformats.org/officeDocument/2006/relationships/hyperlink" Target="#Personeller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at&#305;&#351;lar!A1"/><Relationship Id="rId2" Type="http://schemas.openxmlformats.org/officeDocument/2006/relationships/hyperlink" Target="#&#220;r&#252;nler!A1"/><Relationship Id="rId1" Type="http://schemas.openxmlformats.org/officeDocument/2006/relationships/hyperlink" Target="#'Ana Sayfa'!A1"/><Relationship Id="rId4" Type="http://schemas.openxmlformats.org/officeDocument/2006/relationships/hyperlink" Target="#Personeller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at&#305;&#351;lar!A1"/><Relationship Id="rId2" Type="http://schemas.openxmlformats.org/officeDocument/2006/relationships/hyperlink" Target="#&#220;r&#252;nler!A1"/><Relationship Id="rId1" Type="http://schemas.openxmlformats.org/officeDocument/2006/relationships/hyperlink" Target="#'Ana Sayfa'!A1"/><Relationship Id="rId4" Type="http://schemas.openxmlformats.org/officeDocument/2006/relationships/hyperlink" Target="#Personeller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240196</xdr:colOff>
      <xdr:row>1</xdr:row>
      <xdr:rowOff>124237</xdr:rowOff>
    </xdr:from>
    <xdr:to>
      <xdr:col>5</xdr:col>
      <xdr:colOff>91108</xdr:colOff>
      <xdr:row>6</xdr:row>
      <xdr:rowOff>99391</xdr:rowOff>
    </xdr:to>
    <xdr:sp macro="" textlink="">
      <xdr:nvSpPr>
        <xdr:cNvPr id="2" name="Dikdörtgen 1"/>
        <xdr:cNvSpPr/>
      </xdr:nvSpPr>
      <xdr:spPr>
        <a:xfrm>
          <a:off x="240196" y="314737"/>
          <a:ext cx="1383195" cy="927654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r-TR" sz="2000" b="1">
              <a:solidFill>
                <a:schemeClr val="bg1"/>
              </a:solidFill>
            </a:rPr>
            <a:t>Şatış</a:t>
          </a:r>
          <a:r>
            <a:rPr lang="tr-TR" sz="2000" b="1" baseline="0">
              <a:solidFill>
                <a:schemeClr val="bg1"/>
              </a:solidFill>
            </a:rPr>
            <a:t> Takip Programı</a:t>
          </a:r>
        </a:p>
        <a:p>
          <a:pPr algn="l"/>
          <a:endParaRPr lang="tr-T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57978</xdr:colOff>
      <xdr:row>7</xdr:row>
      <xdr:rowOff>0</xdr:rowOff>
    </xdr:from>
    <xdr:to>
      <xdr:col>5</xdr:col>
      <xdr:colOff>140803</xdr:colOff>
      <xdr:row>10</xdr:row>
      <xdr:rowOff>66259</xdr:rowOff>
    </xdr:to>
    <xdr:sp macro="" textlink="">
      <xdr:nvSpPr>
        <xdr:cNvPr id="3" name="Yuvarlatılmış Çapraz Köşeli Dikdörtgen 2">
          <a:hlinkClick xmlns:r="http://schemas.openxmlformats.org/officeDocument/2006/relationships" r:id="rId1"/>
        </xdr:cNvPr>
        <xdr:cNvSpPr/>
      </xdr:nvSpPr>
      <xdr:spPr>
        <a:xfrm>
          <a:off x="57978" y="1333500"/>
          <a:ext cx="1615108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Ana Sayfa</a:t>
          </a:r>
        </a:p>
      </xdr:txBody>
    </xdr:sp>
    <xdr:clientData/>
  </xdr:twoCellAnchor>
  <xdr:twoCellAnchor>
    <xdr:from>
      <xdr:col>0</xdr:col>
      <xdr:colOff>57978</xdr:colOff>
      <xdr:row>11</xdr:row>
      <xdr:rowOff>0</xdr:rowOff>
    </xdr:from>
    <xdr:to>
      <xdr:col>5</xdr:col>
      <xdr:colOff>182217</xdr:colOff>
      <xdr:row>14</xdr:row>
      <xdr:rowOff>66259</xdr:rowOff>
    </xdr:to>
    <xdr:sp macro="" textlink="">
      <xdr:nvSpPr>
        <xdr:cNvPr id="4" name="Yuvarlatılmış Çapraz Köşeli Dikdörtgen 3">
          <a:hlinkClick xmlns:r="http://schemas.openxmlformats.org/officeDocument/2006/relationships" r:id="rId2"/>
        </xdr:cNvPr>
        <xdr:cNvSpPr/>
      </xdr:nvSpPr>
      <xdr:spPr>
        <a:xfrm>
          <a:off x="57978" y="2095500"/>
          <a:ext cx="1656522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Ürünler</a:t>
          </a:r>
        </a:p>
        <a:p>
          <a:pPr algn="l"/>
          <a:endParaRPr lang="tr-TR" sz="2000" b="1"/>
        </a:p>
      </xdr:txBody>
    </xdr:sp>
    <xdr:clientData/>
  </xdr:twoCellAnchor>
  <xdr:twoCellAnchor>
    <xdr:from>
      <xdr:col>0</xdr:col>
      <xdr:colOff>57978</xdr:colOff>
      <xdr:row>15</xdr:row>
      <xdr:rowOff>82827</xdr:rowOff>
    </xdr:from>
    <xdr:to>
      <xdr:col>5</xdr:col>
      <xdr:colOff>182217</xdr:colOff>
      <xdr:row>18</xdr:row>
      <xdr:rowOff>149086</xdr:rowOff>
    </xdr:to>
    <xdr:sp macro="" textlink="">
      <xdr:nvSpPr>
        <xdr:cNvPr id="5" name="Yuvarlatılmış Çapraz Köşeli Dikdörtgen 4">
          <a:hlinkClick xmlns:r="http://schemas.openxmlformats.org/officeDocument/2006/relationships" r:id="rId3"/>
        </xdr:cNvPr>
        <xdr:cNvSpPr/>
      </xdr:nvSpPr>
      <xdr:spPr>
        <a:xfrm>
          <a:off x="57978" y="2940327"/>
          <a:ext cx="1656522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Satışlar</a:t>
          </a:r>
        </a:p>
      </xdr:txBody>
    </xdr:sp>
    <xdr:clientData/>
  </xdr:twoCellAnchor>
  <xdr:twoCellAnchor>
    <xdr:from>
      <xdr:col>0</xdr:col>
      <xdr:colOff>57978</xdr:colOff>
      <xdr:row>19</xdr:row>
      <xdr:rowOff>124239</xdr:rowOff>
    </xdr:from>
    <xdr:to>
      <xdr:col>5</xdr:col>
      <xdr:colOff>182217</xdr:colOff>
      <xdr:row>22</xdr:row>
      <xdr:rowOff>190498</xdr:rowOff>
    </xdr:to>
    <xdr:sp macro="" textlink="">
      <xdr:nvSpPr>
        <xdr:cNvPr id="6" name="Yuvarlatılmış Çapraz Köşeli Dikdörtgen 5">
          <a:hlinkClick xmlns:r="http://schemas.openxmlformats.org/officeDocument/2006/relationships" r:id="rId4"/>
        </xdr:cNvPr>
        <xdr:cNvSpPr/>
      </xdr:nvSpPr>
      <xdr:spPr>
        <a:xfrm>
          <a:off x="57978" y="3743739"/>
          <a:ext cx="1656522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Personeller</a:t>
          </a:r>
        </a:p>
        <a:p>
          <a:pPr algn="l"/>
          <a:endParaRPr lang="tr-TR" sz="2000" b="1"/>
        </a:p>
      </xdr:txBody>
    </xdr:sp>
    <xdr:clientData/>
  </xdr:twoCellAnchor>
  <xdr:twoCellAnchor>
    <xdr:from>
      <xdr:col>17</xdr:col>
      <xdr:colOff>198782</xdr:colOff>
      <xdr:row>1</xdr:row>
      <xdr:rowOff>0</xdr:rowOff>
    </xdr:from>
    <xdr:to>
      <xdr:col>52</xdr:col>
      <xdr:colOff>33131</xdr:colOff>
      <xdr:row>15</xdr:row>
      <xdr:rowOff>182217</xdr:rowOff>
    </xdr:to>
    <xdr:sp macro="" textlink="">
      <xdr:nvSpPr>
        <xdr:cNvPr id="9" name="Dikdörtgen 8"/>
        <xdr:cNvSpPr/>
      </xdr:nvSpPr>
      <xdr:spPr>
        <a:xfrm>
          <a:off x="4174434" y="190500"/>
          <a:ext cx="6791740" cy="2849217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8282</xdr:colOff>
      <xdr:row>17</xdr:row>
      <xdr:rowOff>8283</xdr:rowOff>
    </xdr:from>
    <xdr:to>
      <xdr:col>52</xdr:col>
      <xdr:colOff>49696</xdr:colOff>
      <xdr:row>32</xdr:row>
      <xdr:rowOff>107674</xdr:rowOff>
    </xdr:to>
    <xdr:sp macro="" textlink="">
      <xdr:nvSpPr>
        <xdr:cNvPr id="10" name="Dikdörtgen 9"/>
        <xdr:cNvSpPr/>
      </xdr:nvSpPr>
      <xdr:spPr>
        <a:xfrm>
          <a:off x="4182717" y="3246783"/>
          <a:ext cx="6800022" cy="2956891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53</xdr:col>
      <xdr:colOff>16563</xdr:colOff>
      <xdr:row>17</xdr:row>
      <xdr:rowOff>8283</xdr:rowOff>
    </xdr:from>
    <xdr:to>
      <xdr:col>73</xdr:col>
      <xdr:colOff>74543</xdr:colOff>
      <xdr:row>32</xdr:row>
      <xdr:rowOff>0</xdr:rowOff>
    </xdr:to>
    <xdr:sp macro="" textlink="">
      <xdr:nvSpPr>
        <xdr:cNvPr id="11" name="Dikdörtgen 10"/>
        <xdr:cNvSpPr/>
      </xdr:nvSpPr>
      <xdr:spPr>
        <a:xfrm>
          <a:off x="11148389" y="3246783"/>
          <a:ext cx="4033632" cy="2849217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53</xdr:col>
      <xdr:colOff>0</xdr:colOff>
      <xdr:row>1</xdr:row>
      <xdr:rowOff>8283</xdr:rowOff>
    </xdr:from>
    <xdr:to>
      <xdr:col>73</xdr:col>
      <xdr:colOff>57980</xdr:colOff>
      <xdr:row>16</xdr:row>
      <xdr:rowOff>0</xdr:rowOff>
    </xdr:to>
    <xdr:sp macro="" textlink="">
      <xdr:nvSpPr>
        <xdr:cNvPr id="12" name="Dikdörtgen 11"/>
        <xdr:cNvSpPr/>
      </xdr:nvSpPr>
      <xdr:spPr>
        <a:xfrm>
          <a:off x="11131826" y="198783"/>
          <a:ext cx="4033632" cy="2849217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52</xdr:col>
      <xdr:colOff>33131</xdr:colOff>
      <xdr:row>15</xdr:row>
      <xdr:rowOff>173936</xdr:rowOff>
    </xdr:to>
    <xdr:graphicFrame macro="">
      <xdr:nvGraphicFramePr>
        <xdr:cNvPr id="13" name="Grafik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8282</xdr:colOff>
      <xdr:row>17</xdr:row>
      <xdr:rowOff>8283</xdr:rowOff>
    </xdr:from>
    <xdr:to>
      <xdr:col>52</xdr:col>
      <xdr:colOff>49696</xdr:colOff>
      <xdr:row>32</xdr:row>
      <xdr:rowOff>115957</xdr:rowOff>
    </xdr:to>
    <xdr:graphicFrame macro="">
      <xdr:nvGraphicFramePr>
        <xdr:cNvPr id="14" name="Grafik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53</xdr:col>
      <xdr:colOff>0</xdr:colOff>
      <xdr:row>1</xdr:row>
      <xdr:rowOff>8283</xdr:rowOff>
    </xdr:from>
    <xdr:to>
      <xdr:col>73</xdr:col>
      <xdr:colOff>74544</xdr:colOff>
      <xdr:row>15</xdr:row>
      <xdr:rowOff>173935</xdr:rowOff>
    </xdr:to>
    <xdr:graphicFrame macro="">
      <xdr:nvGraphicFramePr>
        <xdr:cNvPr id="16" name="Grafik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16563</xdr:colOff>
      <xdr:row>17</xdr:row>
      <xdr:rowOff>8282</xdr:rowOff>
    </xdr:from>
    <xdr:to>
      <xdr:col>73</xdr:col>
      <xdr:colOff>66261</xdr:colOff>
      <xdr:row>31</xdr:row>
      <xdr:rowOff>190499</xdr:rowOff>
    </xdr:to>
    <xdr:graphicFrame macro="">
      <xdr:nvGraphicFramePr>
        <xdr:cNvPr id="17" name="Grafik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240196</xdr:colOff>
      <xdr:row>1</xdr:row>
      <xdr:rowOff>124237</xdr:rowOff>
    </xdr:from>
    <xdr:to>
      <xdr:col>5</xdr:col>
      <xdr:colOff>91108</xdr:colOff>
      <xdr:row>6</xdr:row>
      <xdr:rowOff>99391</xdr:rowOff>
    </xdr:to>
    <xdr:sp macro="" textlink="">
      <xdr:nvSpPr>
        <xdr:cNvPr id="2" name="Dikdörtgen 1"/>
        <xdr:cNvSpPr/>
      </xdr:nvSpPr>
      <xdr:spPr>
        <a:xfrm>
          <a:off x="240196" y="314737"/>
          <a:ext cx="1374912" cy="927654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r-TR" sz="2000" b="1">
              <a:solidFill>
                <a:schemeClr val="bg1"/>
              </a:solidFill>
            </a:rPr>
            <a:t>Şatış</a:t>
          </a:r>
          <a:r>
            <a:rPr lang="tr-TR" sz="2000" b="1" baseline="0">
              <a:solidFill>
                <a:schemeClr val="bg1"/>
              </a:solidFill>
            </a:rPr>
            <a:t> Takip Programı</a:t>
          </a:r>
        </a:p>
        <a:p>
          <a:pPr algn="l"/>
          <a:endParaRPr lang="tr-T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57978</xdr:colOff>
      <xdr:row>7</xdr:row>
      <xdr:rowOff>0</xdr:rowOff>
    </xdr:from>
    <xdr:to>
      <xdr:col>5</xdr:col>
      <xdr:colOff>140803</xdr:colOff>
      <xdr:row>10</xdr:row>
      <xdr:rowOff>66259</xdr:rowOff>
    </xdr:to>
    <xdr:sp macro="" textlink="">
      <xdr:nvSpPr>
        <xdr:cNvPr id="3" name="Yuvarlatılmış Çapraz Köşeli Dikdörtgen 2">
          <a:hlinkClick xmlns:r="http://schemas.openxmlformats.org/officeDocument/2006/relationships" r:id="rId1"/>
        </xdr:cNvPr>
        <xdr:cNvSpPr/>
      </xdr:nvSpPr>
      <xdr:spPr>
        <a:xfrm>
          <a:off x="57978" y="1333500"/>
          <a:ext cx="1606825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Ana Sayfa</a:t>
          </a:r>
        </a:p>
      </xdr:txBody>
    </xdr:sp>
    <xdr:clientData/>
  </xdr:twoCellAnchor>
  <xdr:twoCellAnchor>
    <xdr:from>
      <xdr:col>0</xdr:col>
      <xdr:colOff>57978</xdr:colOff>
      <xdr:row>11</xdr:row>
      <xdr:rowOff>0</xdr:rowOff>
    </xdr:from>
    <xdr:to>
      <xdr:col>5</xdr:col>
      <xdr:colOff>182217</xdr:colOff>
      <xdr:row>14</xdr:row>
      <xdr:rowOff>66259</xdr:rowOff>
    </xdr:to>
    <xdr:sp macro="" textlink="">
      <xdr:nvSpPr>
        <xdr:cNvPr id="4" name="Yuvarlatılmış Çapraz Köşeli Dikdörtgen 3">
          <a:hlinkClick xmlns:r="http://schemas.openxmlformats.org/officeDocument/2006/relationships" r:id="rId2"/>
        </xdr:cNvPr>
        <xdr:cNvSpPr/>
      </xdr:nvSpPr>
      <xdr:spPr>
        <a:xfrm>
          <a:off x="57978" y="2095500"/>
          <a:ext cx="1648239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Ürünler</a:t>
          </a:r>
        </a:p>
        <a:p>
          <a:pPr algn="l"/>
          <a:endParaRPr lang="tr-TR" sz="2000" b="1"/>
        </a:p>
      </xdr:txBody>
    </xdr:sp>
    <xdr:clientData/>
  </xdr:twoCellAnchor>
  <xdr:twoCellAnchor>
    <xdr:from>
      <xdr:col>0</xdr:col>
      <xdr:colOff>57978</xdr:colOff>
      <xdr:row>15</xdr:row>
      <xdr:rowOff>82827</xdr:rowOff>
    </xdr:from>
    <xdr:to>
      <xdr:col>5</xdr:col>
      <xdr:colOff>182217</xdr:colOff>
      <xdr:row>18</xdr:row>
      <xdr:rowOff>149086</xdr:rowOff>
    </xdr:to>
    <xdr:sp macro="" textlink="">
      <xdr:nvSpPr>
        <xdr:cNvPr id="5" name="Yuvarlatılmış Çapraz Köşeli Dikdörtgen 4">
          <a:hlinkClick xmlns:r="http://schemas.openxmlformats.org/officeDocument/2006/relationships" r:id="rId3"/>
        </xdr:cNvPr>
        <xdr:cNvSpPr/>
      </xdr:nvSpPr>
      <xdr:spPr>
        <a:xfrm>
          <a:off x="57978" y="2940327"/>
          <a:ext cx="1648239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Satışlar</a:t>
          </a:r>
        </a:p>
      </xdr:txBody>
    </xdr:sp>
    <xdr:clientData/>
  </xdr:twoCellAnchor>
  <xdr:twoCellAnchor>
    <xdr:from>
      <xdr:col>0</xdr:col>
      <xdr:colOff>57978</xdr:colOff>
      <xdr:row>19</xdr:row>
      <xdr:rowOff>124239</xdr:rowOff>
    </xdr:from>
    <xdr:to>
      <xdr:col>5</xdr:col>
      <xdr:colOff>182217</xdr:colOff>
      <xdr:row>22</xdr:row>
      <xdr:rowOff>190498</xdr:rowOff>
    </xdr:to>
    <xdr:sp macro="" textlink="">
      <xdr:nvSpPr>
        <xdr:cNvPr id="6" name="Yuvarlatılmış Çapraz Köşeli Dikdörtgen 5">
          <a:hlinkClick xmlns:r="http://schemas.openxmlformats.org/officeDocument/2006/relationships" r:id="rId4"/>
        </xdr:cNvPr>
        <xdr:cNvSpPr/>
      </xdr:nvSpPr>
      <xdr:spPr>
        <a:xfrm>
          <a:off x="57978" y="3743739"/>
          <a:ext cx="1648239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Personeller</a:t>
          </a:r>
        </a:p>
        <a:p>
          <a:pPr algn="l"/>
          <a:endParaRPr lang="tr-TR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240196</xdr:colOff>
      <xdr:row>1</xdr:row>
      <xdr:rowOff>124237</xdr:rowOff>
    </xdr:from>
    <xdr:to>
      <xdr:col>5</xdr:col>
      <xdr:colOff>91108</xdr:colOff>
      <xdr:row>6</xdr:row>
      <xdr:rowOff>99391</xdr:rowOff>
    </xdr:to>
    <xdr:sp macro="" textlink="">
      <xdr:nvSpPr>
        <xdr:cNvPr id="2" name="Dikdörtgen 1"/>
        <xdr:cNvSpPr/>
      </xdr:nvSpPr>
      <xdr:spPr>
        <a:xfrm>
          <a:off x="240196" y="314737"/>
          <a:ext cx="1374912" cy="927654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r-TR" sz="2000" b="1">
              <a:solidFill>
                <a:schemeClr val="bg1"/>
              </a:solidFill>
            </a:rPr>
            <a:t>Şatış</a:t>
          </a:r>
          <a:r>
            <a:rPr lang="tr-TR" sz="2000" b="1" baseline="0">
              <a:solidFill>
                <a:schemeClr val="bg1"/>
              </a:solidFill>
            </a:rPr>
            <a:t> Takip Programı</a:t>
          </a:r>
        </a:p>
        <a:p>
          <a:pPr algn="l"/>
          <a:endParaRPr lang="tr-T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57978</xdr:colOff>
      <xdr:row>7</xdr:row>
      <xdr:rowOff>0</xdr:rowOff>
    </xdr:from>
    <xdr:to>
      <xdr:col>5</xdr:col>
      <xdr:colOff>140803</xdr:colOff>
      <xdr:row>10</xdr:row>
      <xdr:rowOff>66259</xdr:rowOff>
    </xdr:to>
    <xdr:sp macro="" textlink="">
      <xdr:nvSpPr>
        <xdr:cNvPr id="3" name="Yuvarlatılmış Çapraz Köşeli Dikdörtgen 2">
          <a:hlinkClick xmlns:r="http://schemas.openxmlformats.org/officeDocument/2006/relationships" r:id="rId1"/>
        </xdr:cNvPr>
        <xdr:cNvSpPr/>
      </xdr:nvSpPr>
      <xdr:spPr>
        <a:xfrm>
          <a:off x="57978" y="1333500"/>
          <a:ext cx="1606825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Ana Sayfa</a:t>
          </a:r>
        </a:p>
      </xdr:txBody>
    </xdr:sp>
    <xdr:clientData/>
  </xdr:twoCellAnchor>
  <xdr:twoCellAnchor>
    <xdr:from>
      <xdr:col>0</xdr:col>
      <xdr:colOff>57978</xdr:colOff>
      <xdr:row>11</xdr:row>
      <xdr:rowOff>0</xdr:rowOff>
    </xdr:from>
    <xdr:to>
      <xdr:col>5</xdr:col>
      <xdr:colOff>182217</xdr:colOff>
      <xdr:row>14</xdr:row>
      <xdr:rowOff>66259</xdr:rowOff>
    </xdr:to>
    <xdr:sp macro="" textlink="">
      <xdr:nvSpPr>
        <xdr:cNvPr id="4" name="Yuvarlatılmış Çapraz Köşeli Dikdörtgen 3">
          <a:hlinkClick xmlns:r="http://schemas.openxmlformats.org/officeDocument/2006/relationships" r:id="rId2"/>
        </xdr:cNvPr>
        <xdr:cNvSpPr/>
      </xdr:nvSpPr>
      <xdr:spPr>
        <a:xfrm>
          <a:off x="57978" y="2095500"/>
          <a:ext cx="1648239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Ürünler</a:t>
          </a:r>
        </a:p>
        <a:p>
          <a:pPr algn="l"/>
          <a:endParaRPr lang="tr-TR" sz="2000" b="1"/>
        </a:p>
      </xdr:txBody>
    </xdr:sp>
    <xdr:clientData/>
  </xdr:twoCellAnchor>
  <xdr:twoCellAnchor>
    <xdr:from>
      <xdr:col>0</xdr:col>
      <xdr:colOff>57978</xdr:colOff>
      <xdr:row>15</xdr:row>
      <xdr:rowOff>82827</xdr:rowOff>
    </xdr:from>
    <xdr:to>
      <xdr:col>5</xdr:col>
      <xdr:colOff>182217</xdr:colOff>
      <xdr:row>18</xdr:row>
      <xdr:rowOff>149086</xdr:rowOff>
    </xdr:to>
    <xdr:sp macro="" textlink="">
      <xdr:nvSpPr>
        <xdr:cNvPr id="5" name="Yuvarlatılmış Çapraz Köşeli Dikdörtgen 4">
          <a:hlinkClick xmlns:r="http://schemas.openxmlformats.org/officeDocument/2006/relationships" r:id="rId3"/>
        </xdr:cNvPr>
        <xdr:cNvSpPr/>
      </xdr:nvSpPr>
      <xdr:spPr>
        <a:xfrm>
          <a:off x="57978" y="2940327"/>
          <a:ext cx="1648239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Satışlar</a:t>
          </a:r>
        </a:p>
      </xdr:txBody>
    </xdr:sp>
    <xdr:clientData/>
  </xdr:twoCellAnchor>
  <xdr:twoCellAnchor>
    <xdr:from>
      <xdr:col>0</xdr:col>
      <xdr:colOff>57978</xdr:colOff>
      <xdr:row>19</xdr:row>
      <xdr:rowOff>124239</xdr:rowOff>
    </xdr:from>
    <xdr:to>
      <xdr:col>5</xdr:col>
      <xdr:colOff>182217</xdr:colOff>
      <xdr:row>22</xdr:row>
      <xdr:rowOff>190498</xdr:rowOff>
    </xdr:to>
    <xdr:sp macro="" textlink="">
      <xdr:nvSpPr>
        <xdr:cNvPr id="6" name="Yuvarlatılmış Çapraz Köşeli Dikdörtgen 5">
          <a:hlinkClick xmlns:r="http://schemas.openxmlformats.org/officeDocument/2006/relationships" r:id="rId4"/>
        </xdr:cNvPr>
        <xdr:cNvSpPr/>
      </xdr:nvSpPr>
      <xdr:spPr>
        <a:xfrm>
          <a:off x="57978" y="3743739"/>
          <a:ext cx="1648239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Personeller</a:t>
          </a:r>
        </a:p>
        <a:p>
          <a:pPr algn="l"/>
          <a:endParaRPr lang="tr-TR" sz="20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240196</xdr:colOff>
      <xdr:row>1</xdr:row>
      <xdr:rowOff>124237</xdr:rowOff>
    </xdr:from>
    <xdr:to>
      <xdr:col>5</xdr:col>
      <xdr:colOff>91108</xdr:colOff>
      <xdr:row>6</xdr:row>
      <xdr:rowOff>99391</xdr:rowOff>
    </xdr:to>
    <xdr:sp macro="" textlink="">
      <xdr:nvSpPr>
        <xdr:cNvPr id="2" name="Dikdörtgen 1"/>
        <xdr:cNvSpPr/>
      </xdr:nvSpPr>
      <xdr:spPr>
        <a:xfrm>
          <a:off x="240196" y="314737"/>
          <a:ext cx="1374912" cy="927654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r-TR" sz="2000" b="1">
              <a:solidFill>
                <a:schemeClr val="bg1"/>
              </a:solidFill>
            </a:rPr>
            <a:t>Şatış</a:t>
          </a:r>
          <a:r>
            <a:rPr lang="tr-TR" sz="2000" b="1" baseline="0">
              <a:solidFill>
                <a:schemeClr val="bg1"/>
              </a:solidFill>
            </a:rPr>
            <a:t> Takip Programı</a:t>
          </a:r>
        </a:p>
        <a:p>
          <a:pPr algn="l"/>
          <a:endParaRPr lang="tr-T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57978</xdr:colOff>
      <xdr:row>7</xdr:row>
      <xdr:rowOff>0</xdr:rowOff>
    </xdr:from>
    <xdr:to>
      <xdr:col>5</xdr:col>
      <xdr:colOff>140803</xdr:colOff>
      <xdr:row>10</xdr:row>
      <xdr:rowOff>66259</xdr:rowOff>
    </xdr:to>
    <xdr:sp macro="" textlink="">
      <xdr:nvSpPr>
        <xdr:cNvPr id="3" name="Yuvarlatılmış Çapraz Köşeli Dikdörtgen 2">
          <a:hlinkClick xmlns:r="http://schemas.openxmlformats.org/officeDocument/2006/relationships" r:id="rId1"/>
        </xdr:cNvPr>
        <xdr:cNvSpPr/>
      </xdr:nvSpPr>
      <xdr:spPr>
        <a:xfrm>
          <a:off x="57978" y="1333500"/>
          <a:ext cx="1606825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Ana Sayfa</a:t>
          </a:r>
        </a:p>
      </xdr:txBody>
    </xdr:sp>
    <xdr:clientData/>
  </xdr:twoCellAnchor>
  <xdr:twoCellAnchor>
    <xdr:from>
      <xdr:col>0</xdr:col>
      <xdr:colOff>57978</xdr:colOff>
      <xdr:row>11</xdr:row>
      <xdr:rowOff>0</xdr:rowOff>
    </xdr:from>
    <xdr:to>
      <xdr:col>5</xdr:col>
      <xdr:colOff>182217</xdr:colOff>
      <xdr:row>14</xdr:row>
      <xdr:rowOff>66259</xdr:rowOff>
    </xdr:to>
    <xdr:sp macro="" textlink="">
      <xdr:nvSpPr>
        <xdr:cNvPr id="4" name="Yuvarlatılmış Çapraz Köşeli Dikdörtgen 3">
          <a:hlinkClick xmlns:r="http://schemas.openxmlformats.org/officeDocument/2006/relationships" r:id="rId2"/>
        </xdr:cNvPr>
        <xdr:cNvSpPr/>
      </xdr:nvSpPr>
      <xdr:spPr>
        <a:xfrm>
          <a:off x="57978" y="2095500"/>
          <a:ext cx="1648239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Ürünler</a:t>
          </a:r>
        </a:p>
        <a:p>
          <a:pPr algn="l"/>
          <a:endParaRPr lang="tr-TR" sz="2000" b="1"/>
        </a:p>
      </xdr:txBody>
    </xdr:sp>
    <xdr:clientData/>
  </xdr:twoCellAnchor>
  <xdr:twoCellAnchor>
    <xdr:from>
      <xdr:col>0</xdr:col>
      <xdr:colOff>57978</xdr:colOff>
      <xdr:row>15</xdr:row>
      <xdr:rowOff>82827</xdr:rowOff>
    </xdr:from>
    <xdr:to>
      <xdr:col>5</xdr:col>
      <xdr:colOff>182217</xdr:colOff>
      <xdr:row>18</xdr:row>
      <xdr:rowOff>149086</xdr:rowOff>
    </xdr:to>
    <xdr:sp macro="" textlink="">
      <xdr:nvSpPr>
        <xdr:cNvPr id="5" name="Yuvarlatılmış Çapraz Köşeli Dikdörtgen 4">
          <a:hlinkClick xmlns:r="http://schemas.openxmlformats.org/officeDocument/2006/relationships" r:id="rId3"/>
        </xdr:cNvPr>
        <xdr:cNvSpPr/>
      </xdr:nvSpPr>
      <xdr:spPr>
        <a:xfrm>
          <a:off x="57978" y="2940327"/>
          <a:ext cx="1648239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Satışlar</a:t>
          </a:r>
        </a:p>
      </xdr:txBody>
    </xdr:sp>
    <xdr:clientData/>
  </xdr:twoCellAnchor>
  <xdr:twoCellAnchor>
    <xdr:from>
      <xdr:col>0</xdr:col>
      <xdr:colOff>57978</xdr:colOff>
      <xdr:row>19</xdr:row>
      <xdr:rowOff>124239</xdr:rowOff>
    </xdr:from>
    <xdr:to>
      <xdr:col>5</xdr:col>
      <xdr:colOff>182217</xdr:colOff>
      <xdr:row>22</xdr:row>
      <xdr:rowOff>190498</xdr:rowOff>
    </xdr:to>
    <xdr:sp macro="" textlink="">
      <xdr:nvSpPr>
        <xdr:cNvPr id="6" name="Yuvarlatılmış Çapraz Köşeli Dikdörtgen 5">
          <a:hlinkClick xmlns:r="http://schemas.openxmlformats.org/officeDocument/2006/relationships" r:id="rId4"/>
        </xdr:cNvPr>
        <xdr:cNvSpPr/>
      </xdr:nvSpPr>
      <xdr:spPr>
        <a:xfrm>
          <a:off x="57978" y="3743739"/>
          <a:ext cx="1648239" cy="637759"/>
        </a:xfrm>
        <a:prstGeom prst="round2DiagRect">
          <a:avLst>
            <a:gd name="adj1" fmla="val 16667"/>
            <a:gd name="adj2" fmla="val 50000"/>
          </a:avLst>
        </a:prstGeom>
        <a:solidFill>
          <a:schemeClr val="accent5">
            <a:lumMod val="75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 b="1"/>
            <a:t>Personeller</a:t>
          </a:r>
        </a:p>
        <a:p>
          <a:pPr algn="l"/>
          <a:endParaRPr lang="tr-TR" sz="20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66675</xdr:rowOff>
    </xdr:from>
    <xdr:to>
      <xdr:col>2</xdr:col>
      <xdr:colOff>180975</xdr:colOff>
      <xdr:row>18</xdr:row>
      <xdr:rowOff>152400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666750</xdr:colOff>
      <xdr:row>12</xdr:row>
      <xdr:rowOff>9524</xdr:rowOff>
    </xdr:from>
    <xdr:to>
      <xdr:col>4</xdr:col>
      <xdr:colOff>104775</xdr:colOff>
      <xdr:row>18</xdr:row>
      <xdr:rowOff>119061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781049</xdr:colOff>
      <xdr:row>16</xdr:row>
      <xdr:rowOff>114300</xdr:rowOff>
    </xdr:from>
    <xdr:to>
      <xdr:col>7</xdr:col>
      <xdr:colOff>609600</xdr:colOff>
      <xdr:row>30</xdr:row>
      <xdr:rowOff>23812</xdr:rowOff>
    </xdr:to>
    <xdr:graphicFrame macro="">
      <xdr:nvGraphicFramePr>
        <xdr:cNvPr id="4" name="Grafi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219075</xdr:colOff>
      <xdr:row>14</xdr:row>
      <xdr:rowOff>23812</xdr:rowOff>
    </xdr:from>
    <xdr:to>
      <xdr:col>15</xdr:col>
      <xdr:colOff>333375</xdr:colOff>
      <xdr:row>28</xdr:row>
      <xdr:rowOff>100012</xdr:rowOff>
    </xdr:to>
    <xdr:graphicFrame macro="">
      <xdr:nvGraphicFramePr>
        <xdr:cNvPr id="5" name="Grafik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ert Aslan" refreshedDate="46089.04084814815" createdVersion="6" refreshedVersion="6" minRefreshableVersion="3" recordCount="10">
  <cacheSource type="worksheet">
    <worksheetSource name="Tablo4"/>
  </cacheSource>
  <cacheFields count="12">
    <cacheField name="Tarih" numFmtId="14">
      <sharedItems containsSemiMixedTypes="0" containsNonDate="0" containsDate="1" containsString="0" minDate="2023-01-01T00:00:00" maxDate="2023-10-08T00:00:00" count="10">
        <d v="2023-08-17T00:00:00"/>
        <d v="2023-09-01T00:00:00"/>
        <d v="2023-09-06T00:00:00"/>
        <d v="2023-09-08T00:00:00"/>
        <d v="2023-10-07T00:00:00"/>
        <d v="2023-01-01T00:00:00"/>
        <d v="2023-02-01T00:00:00"/>
        <d v="2023-02-06T00:00:00"/>
        <d v="2023-03-08T00:00:00"/>
        <d v="2023-03-07T00:00:00"/>
      </sharedItems>
      <fieldGroup par="11" base="0">
        <rangePr groupBy="days" startDate="2023-01-01T00:00:00" endDate="2023-10-08T00:00:00"/>
        <groupItems count="368">
          <s v="&lt;1.01.2023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8.10.2023"/>
        </groupItems>
      </fieldGroup>
    </cacheField>
    <cacheField name="Satış Personeli" numFmtId="0">
      <sharedItems count="4">
        <s v="Emre Akyüz"/>
        <s v="Akif Karaca"/>
        <s v="Zeynep Yılmaz"/>
        <s v="Ahmet Yavuz"/>
      </sharedItems>
    </cacheField>
    <cacheField name="Müşteri Adı" numFmtId="0">
      <sharedItems/>
    </cacheField>
    <cacheField name="Müşteri Konumu" numFmtId="0">
      <sharedItems/>
    </cacheField>
    <cacheField name="Marka" numFmtId="0">
      <sharedItems count="4">
        <s v="Audi"/>
        <s v="Hyundai"/>
        <s v="Nissan"/>
        <s v="Opel"/>
      </sharedItems>
    </cacheField>
    <cacheField name="Modeli" numFmtId="0">
      <sharedItems/>
    </cacheField>
    <cacheField name="Liste Fiyatı" numFmtId="165">
      <sharedItems containsSemiMixedTypes="0" containsString="0" containsNumber="1" containsInteger="1" minValue="980000" maxValue="2100000"/>
    </cacheField>
    <cacheField name="İskonto" numFmtId="10">
      <sharedItems containsSemiMixedTypes="0" containsString="0" containsNumber="1" minValue="5.4999999999999997E-3" maxValue="0.04"/>
    </cacheField>
    <cacheField name="Satış Fiyatı" numFmtId="165">
      <sharedItems containsSemiMixedTypes="0" containsString="0" containsNumber="1" containsInteger="1" minValue="950600" maxValue="2016000"/>
    </cacheField>
    <cacheField name="Adet" numFmtId="0">
      <sharedItems containsSemiMixedTypes="0" containsString="0" containsNumber="1" containsInteger="1" minValue="1" maxValue="4"/>
    </cacheField>
    <cacheField name="Toplam Tutar" numFmtId="165">
      <sharedItems containsSemiMixedTypes="0" containsString="0" containsNumber="1" containsInteger="1" minValue="1225000" maxValue="4410000"/>
    </cacheField>
    <cacheField name="Ay" numFmtId="0" databaseField="0">
      <fieldGroup base="0">
        <rangePr groupBy="months" startDate="2023-01-01T00:00:00" endDate="2023-10-08T00:00:00"/>
        <groupItems count="14">
          <s v="&lt;1.01.2023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8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s v="Ahmet Tekin"/>
    <s v="İzmir"/>
    <x v="0"/>
    <s v="A3"/>
    <n v="1500000"/>
    <n v="0.01"/>
    <n v="1485000"/>
    <n v="2"/>
    <n v="2970000"/>
  </r>
  <r>
    <x v="1"/>
    <x v="0"/>
    <s v="Emre  Ağmil"/>
    <s v="İzmir"/>
    <x v="1"/>
    <s v="i20"/>
    <n v="980000"/>
    <n v="0.01"/>
    <n v="970200"/>
    <n v="2"/>
    <n v="1940400"/>
  </r>
  <r>
    <x v="2"/>
    <x v="1"/>
    <s v="Betül  Alpaslan"/>
    <s v="İzmir"/>
    <x v="0"/>
    <s v="A3"/>
    <n v="1500000"/>
    <n v="0.02"/>
    <n v="1470000"/>
    <n v="3"/>
    <n v="4410000"/>
  </r>
  <r>
    <x v="3"/>
    <x v="1"/>
    <s v="Bekir  Çolak"/>
    <s v="Ankara"/>
    <x v="2"/>
    <s v="i20"/>
    <n v="980000"/>
    <n v="0.03"/>
    <n v="950600"/>
    <n v="4"/>
    <n v="3802400"/>
  </r>
  <r>
    <x v="4"/>
    <x v="2"/>
    <s v="Emine  Karahan"/>
    <s v="Erzurum"/>
    <x v="3"/>
    <s v="Astra"/>
    <n v="1250000"/>
    <n v="0.02"/>
    <n v="1225000"/>
    <n v="1"/>
    <n v="1225000"/>
  </r>
  <r>
    <x v="5"/>
    <x v="2"/>
    <s v="Ayça Ersoy"/>
    <s v="Trabzon"/>
    <x v="3"/>
    <s v="Corsa-e"/>
    <n v="2100000"/>
    <n v="0.04"/>
    <n v="2016000"/>
    <n v="2"/>
    <n v="4032000"/>
  </r>
  <r>
    <x v="6"/>
    <x v="3"/>
    <s v="Emre  Saydık"/>
    <s v="Bursa"/>
    <x v="0"/>
    <s v="A4"/>
    <n v="1900000"/>
    <n v="5.4999999999999997E-3"/>
    <n v="1889550"/>
    <n v="2"/>
    <n v="3779100"/>
  </r>
  <r>
    <x v="7"/>
    <x v="0"/>
    <s v="Arif Bilen"/>
    <s v="İzmir"/>
    <x v="1"/>
    <s v="i20"/>
    <n v="980000"/>
    <n v="0.02"/>
    <n v="960400"/>
    <n v="3"/>
    <n v="2881200"/>
  </r>
  <r>
    <x v="8"/>
    <x v="1"/>
    <s v="Deniz Karahan"/>
    <s v="İstanbul"/>
    <x v="2"/>
    <s v="X-Trail"/>
    <n v="1685000"/>
    <n v="0.03"/>
    <n v="1634450"/>
    <n v="2"/>
    <n v="3268900"/>
  </r>
  <r>
    <x v="9"/>
    <x v="0"/>
    <s v="Berat El"/>
    <s v="Bursa"/>
    <x v="0"/>
    <s v="Corsa"/>
    <n v="985000"/>
    <n v="0.01"/>
    <n v="975150"/>
    <n v="4"/>
    <n v="3900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14">
  <location ref="N3:O8" firstHeaderRow="1" firstDataRow="1" firstDataCol="1"/>
  <pivotFields count="12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numFmtId="165" showAll="0"/>
    <pivotField numFmtId="10" showAll="0"/>
    <pivotField numFmtId="165" showAll="0"/>
    <pivotField dataField="1" showAll="0"/>
    <pivotField numFmtId="165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plam Adet" fld="9" baseField="0" baseItem="0"/>
  </dataFields>
  <chartFormats count="20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11">
  <location ref="H4:I9" firstHeaderRow="1" firstDataRow="1" firstDataCol="1"/>
  <pivotFields count="12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65" showAll="0"/>
    <pivotField numFmtId="10" showAll="0"/>
    <pivotField numFmtId="165" showAll="0"/>
    <pivotField dataField="1" showAll="0"/>
    <pivotField numFmtId="165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plam Adet" fld="9" baseField="0" baseItem="0"/>
  </dataFields>
  <chartFormats count="13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7">
  <location ref="E3:F10" firstHeaderRow="1" firstDataRow="1" firstDataCol="1"/>
  <pivotFields count="12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numFmtId="165" showAll="0"/>
    <pivotField numFmtId="10" showAll="0"/>
    <pivotField numFmtId="165" showAll="0"/>
    <pivotField dataField="1" showAll="0"/>
    <pivotField numFmtId="165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1"/>
  </rowFields>
  <rowItems count="7">
    <i>
      <x v="1"/>
    </i>
    <i>
      <x v="2"/>
    </i>
    <i>
      <x v="3"/>
    </i>
    <i>
      <x v="8"/>
    </i>
    <i>
      <x v="9"/>
    </i>
    <i>
      <x v="10"/>
    </i>
    <i t="grand">
      <x/>
    </i>
  </rowItems>
  <colItems count="1">
    <i/>
  </colItems>
  <dataFields count="1">
    <dataField name="Toplam Adet" fld="9" baseField="0" baseItem="0"/>
  </dataFields>
  <chartFormats count="3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4">
  <location ref="A3:C8" firstHeaderRow="0" firstDataRow="1" firstDataCol="1"/>
  <pivotFields count="12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5" showAll="0"/>
    <pivotField numFmtId="10" showAll="0"/>
    <pivotField numFmtId="165" showAll="0"/>
    <pivotField dataField="1" showAll="0"/>
    <pivotField dataField="1" numFmtId="165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">
    <i>
      <x v="2"/>
    </i>
    <i>
      <x v="1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Toplam Tutar" fld="10" baseField="0" baseItem="0" numFmtId="165"/>
    <dataField name="Toplam Adet" fld="9" baseField="0" baseItem="0"/>
  </dataFields>
  <chartFormats count="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o1" displayName="Tablo1" ref="I6:L18" totalsRowShown="0" headerRowDxfId="23" headerRowBorderDxfId="22" tableBorderDxfId="21" totalsRowBorderDxfId="20">
  <autoFilter ref="I6:L18"/>
  <tableColumns count="4">
    <tableColumn id="1" name="Ürün Markası" dataDxfId="19"/>
    <tableColumn id="2" name="Ürün Modeli" dataDxfId="18"/>
    <tableColumn id="3" name="Fiyat" dataDxfId="17"/>
    <tableColumn id="4" name="Stok Adedi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o4" displayName="Tablo4" ref="H6:R16" totalsRowShown="0" headerRowDxfId="15">
  <autoFilter ref="H6:R16"/>
  <tableColumns count="11">
    <tableColumn id="1" name="Tarih" dataDxfId="14"/>
    <tableColumn id="2" name="Satış Personeli"/>
    <tableColumn id="3" name="Müşteri Adı"/>
    <tableColumn id="4" name="Müşteri Konumu"/>
    <tableColumn id="5" name="Marka"/>
    <tableColumn id="6" name="Modeli"/>
    <tableColumn id="7" name="Liste Fiyatı" dataDxfId="13">
      <calculatedColumnFormula>VLOOKUP(M7,Tablo1[[Ürün Modeli]:[Fiyat]],2,0)</calculatedColumnFormula>
    </tableColumn>
    <tableColumn id="8" name="İskonto" dataDxfId="12"/>
    <tableColumn id="9" name="Satış Fiyatı" dataDxfId="11">
      <calculatedColumnFormula>N7-N7*O7</calculatedColumnFormula>
    </tableColumn>
    <tableColumn id="10" name="Adet"/>
    <tableColumn id="11" name="Toplam Tutar" dataDxfId="10">
      <calculatedColumnFormula>P7*Q7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Tablo3" displayName="Tablo3" ref="H7:M13" totalsRowShown="0" headerRowDxfId="9" headerRowBorderDxfId="8" tableBorderDxfId="7" totalsRowBorderDxfId="6">
  <autoFilter ref="H7:M13"/>
  <tableColumns count="6">
    <tableColumn id="1" name="Ad Soyad" dataDxfId="5"/>
    <tableColumn id="2" name="Bölge" dataDxfId="4"/>
    <tableColumn id="3" name="Prim Limiti" dataDxfId="3"/>
    <tableColumn id="4" name="Prim Yüzdesi" dataDxfId="2"/>
    <tableColumn id="5" name="Toplam Satış Tutarı" dataDxfId="1">
      <calculatedColumnFormula>SUMIF(Tablo4[Satış Personeli],Tablo3[[#This Row],[Ad Soyad]],Tablo4[Toplam Tutar])</calculatedColumnFormula>
    </tableColumn>
    <tableColumn id="6" name="Hak Edilen Prim" dataDxfId="0">
      <calculatedColumnFormula>IF(Tablo3[[#This Row],[Toplam Satış Tutarı]]&gt;Tablo3[[#This Row],[Prim Limiti]],Tablo3[[#This Row],[Toplam Satış Tutarı]]*Tablo3[[#This Row],[Prim Yüzdesi]],0)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zoomScale="115" zoomScaleNormal="115" workbookViewId="0"/>
  </sheetViews>
  <sheetFormatPr defaultRowHeight="15" x14ac:dyDescent="0.25"/>
  <cols>
    <col min="1" max="5" width="4.5703125" style="1" customWidth="1"/>
    <col min="6" max="6" width="3.85546875" style="1" customWidth="1"/>
    <col min="7" max="146" width="3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18"/>
  <sheetViews>
    <sheetView zoomScale="115" zoomScaleNormal="115" workbookViewId="0"/>
  </sheetViews>
  <sheetFormatPr defaultRowHeight="15" x14ac:dyDescent="0.25"/>
  <cols>
    <col min="1" max="5" width="4.5703125" style="1" customWidth="1"/>
    <col min="6" max="6" width="3.85546875" style="1" customWidth="1"/>
    <col min="9" max="9" width="17.140625" customWidth="1"/>
    <col min="10" max="10" width="15.140625" customWidth="1"/>
    <col min="11" max="11" width="19.140625" customWidth="1"/>
    <col min="12" max="12" width="14.5703125" customWidth="1"/>
  </cols>
  <sheetData>
    <row r="6" spans="9:12" x14ac:dyDescent="0.25">
      <c r="I6" s="13" t="s">
        <v>0</v>
      </c>
      <c r="J6" s="14" t="s">
        <v>1</v>
      </c>
      <c r="K6" s="14" t="s">
        <v>2</v>
      </c>
      <c r="L6" s="15" t="s">
        <v>3</v>
      </c>
    </row>
    <row r="7" spans="9:12" x14ac:dyDescent="0.25">
      <c r="I7" s="3" t="s">
        <v>4</v>
      </c>
      <c r="J7" s="4" t="s">
        <v>5</v>
      </c>
      <c r="K7" s="5">
        <v>1500000</v>
      </c>
      <c r="L7" s="6">
        <v>4</v>
      </c>
    </row>
    <row r="8" spans="9:12" x14ac:dyDescent="0.25">
      <c r="I8" s="3" t="s">
        <v>4</v>
      </c>
      <c r="J8" s="4" t="s">
        <v>6</v>
      </c>
      <c r="K8" s="5">
        <v>1900000</v>
      </c>
      <c r="L8" s="6">
        <v>7</v>
      </c>
    </row>
    <row r="9" spans="9:12" x14ac:dyDescent="0.25">
      <c r="I9" s="3" t="s">
        <v>4</v>
      </c>
      <c r="J9" s="4" t="s">
        <v>7</v>
      </c>
      <c r="K9" s="5">
        <v>2600000</v>
      </c>
      <c r="L9" s="6">
        <v>4</v>
      </c>
    </row>
    <row r="10" spans="9:12" x14ac:dyDescent="0.25">
      <c r="I10" s="3" t="s">
        <v>8</v>
      </c>
      <c r="J10" s="4" t="s">
        <v>9</v>
      </c>
      <c r="K10" s="5">
        <v>980000</v>
      </c>
      <c r="L10" s="6">
        <v>4</v>
      </c>
    </row>
    <row r="11" spans="9:12" x14ac:dyDescent="0.25">
      <c r="I11" s="3" t="s">
        <v>8</v>
      </c>
      <c r="J11" s="4" t="s">
        <v>10</v>
      </c>
      <c r="K11" s="5">
        <v>1450000</v>
      </c>
      <c r="L11" s="6">
        <v>6</v>
      </c>
    </row>
    <row r="12" spans="9:12" x14ac:dyDescent="0.25">
      <c r="I12" s="3" t="s">
        <v>11</v>
      </c>
      <c r="J12" s="4" t="s">
        <v>12</v>
      </c>
      <c r="K12" s="5">
        <v>870000</v>
      </c>
      <c r="L12" s="6">
        <v>3</v>
      </c>
    </row>
    <row r="13" spans="9:12" x14ac:dyDescent="0.25">
      <c r="I13" s="3" t="s">
        <v>11</v>
      </c>
      <c r="J13" s="4" t="s">
        <v>13</v>
      </c>
      <c r="K13" s="5">
        <v>1285000</v>
      </c>
      <c r="L13" s="6">
        <v>6</v>
      </c>
    </row>
    <row r="14" spans="9:12" x14ac:dyDescent="0.25">
      <c r="I14" s="3" t="s">
        <v>11</v>
      </c>
      <c r="J14" s="4" t="s">
        <v>14</v>
      </c>
      <c r="K14" s="5">
        <v>1685000</v>
      </c>
      <c r="L14" s="6">
        <v>8</v>
      </c>
    </row>
    <row r="15" spans="9:12" x14ac:dyDescent="0.25">
      <c r="I15" s="3" t="s">
        <v>15</v>
      </c>
      <c r="J15" s="4" t="s">
        <v>16</v>
      </c>
      <c r="K15" s="5">
        <v>985000</v>
      </c>
      <c r="L15" s="6">
        <v>5</v>
      </c>
    </row>
    <row r="16" spans="9:12" x14ac:dyDescent="0.25">
      <c r="I16" s="3" t="s">
        <v>15</v>
      </c>
      <c r="J16" s="4" t="s">
        <v>17</v>
      </c>
      <c r="K16" s="5">
        <v>1250000</v>
      </c>
      <c r="L16" s="6">
        <v>9</v>
      </c>
    </row>
    <row r="17" spans="9:12" x14ac:dyDescent="0.25">
      <c r="I17" s="3" t="s">
        <v>15</v>
      </c>
      <c r="J17" s="4" t="s">
        <v>18</v>
      </c>
      <c r="K17" s="5">
        <v>1850000</v>
      </c>
      <c r="L17" s="6">
        <v>7</v>
      </c>
    </row>
    <row r="18" spans="9:12" x14ac:dyDescent="0.25">
      <c r="I18" s="7" t="s">
        <v>15</v>
      </c>
      <c r="J18" s="8" t="s">
        <v>19</v>
      </c>
      <c r="K18" s="9">
        <v>2100000</v>
      </c>
      <c r="L18" s="10">
        <v>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R16"/>
  <sheetViews>
    <sheetView zoomScale="115" zoomScaleNormal="115" workbookViewId="0"/>
  </sheetViews>
  <sheetFormatPr defaultRowHeight="15" x14ac:dyDescent="0.25"/>
  <cols>
    <col min="1" max="5" width="4.5703125" style="1" customWidth="1"/>
    <col min="6" max="6" width="3.85546875" style="1" customWidth="1"/>
    <col min="7" max="7" width="6.5703125" customWidth="1"/>
    <col min="8" max="8" width="11" customWidth="1"/>
    <col min="9" max="9" width="16.140625" customWidth="1"/>
    <col min="10" max="10" width="17.5703125" customWidth="1"/>
    <col min="11" max="11" width="18.5703125" customWidth="1"/>
    <col min="12" max="12" width="11" customWidth="1"/>
    <col min="13" max="13" width="12.42578125" customWidth="1"/>
    <col min="14" max="14" width="15.85546875" customWidth="1"/>
    <col min="15" max="15" width="9.85546875" customWidth="1"/>
    <col min="16" max="16" width="16" customWidth="1"/>
    <col min="18" max="18" width="15.7109375" customWidth="1"/>
  </cols>
  <sheetData>
    <row r="6" spans="8:18" ht="15.75" x14ac:dyDescent="0.25">
      <c r="H6" s="26" t="s">
        <v>20</v>
      </c>
      <c r="I6" s="26" t="s">
        <v>21</v>
      </c>
      <c r="J6" s="26" t="s">
        <v>22</v>
      </c>
      <c r="K6" s="26" t="s">
        <v>23</v>
      </c>
      <c r="L6" s="26" t="s">
        <v>24</v>
      </c>
      <c r="M6" s="26" t="s">
        <v>25</v>
      </c>
      <c r="N6" s="26" t="s">
        <v>26</v>
      </c>
      <c r="O6" s="26" t="s">
        <v>27</v>
      </c>
      <c r="P6" s="26" t="s">
        <v>28</v>
      </c>
      <c r="Q6" s="26" t="s">
        <v>29</v>
      </c>
      <c r="R6" s="26" t="s">
        <v>30</v>
      </c>
    </row>
    <row r="7" spans="8:18" x14ac:dyDescent="0.25">
      <c r="H7" s="25">
        <v>45155</v>
      </c>
      <c r="I7" t="s">
        <v>35</v>
      </c>
      <c r="J7" t="s">
        <v>46</v>
      </c>
      <c r="K7" t="s">
        <v>47</v>
      </c>
      <c r="L7" t="s">
        <v>4</v>
      </c>
      <c r="M7" t="s">
        <v>5</v>
      </c>
      <c r="N7" s="2">
        <f>VLOOKUP(M7,Tablo1[[Ürün Modeli]:[Fiyat]],2,0)</f>
        <v>1500000</v>
      </c>
      <c r="O7" s="16">
        <v>0.01</v>
      </c>
      <c r="P7" s="2">
        <f>N7-N7*O7</f>
        <v>1485000</v>
      </c>
      <c r="Q7">
        <v>2</v>
      </c>
      <c r="R7" s="2">
        <f>P7*Q7</f>
        <v>2970000</v>
      </c>
    </row>
    <row r="8" spans="8:18" x14ac:dyDescent="0.25">
      <c r="H8" s="27">
        <v>45170</v>
      </c>
      <c r="I8" s="4" t="s">
        <v>35</v>
      </c>
      <c r="J8" s="4" t="s">
        <v>48</v>
      </c>
      <c r="K8" s="4" t="s">
        <v>47</v>
      </c>
      <c r="L8" s="4" t="s">
        <v>8</v>
      </c>
      <c r="M8" s="4" t="s">
        <v>9</v>
      </c>
      <c r="N8" s="2">
        <f>VLOOKUP(M8,Tablo1[[Ürün Modeli]:[Fiyat]],2,0)</f>
        <v>980000</v>
      </c>
      <c r="O8" s="16">
        <v>0.01</v>
      </c>
      <c r="P8" s="2">
        <f t="shared" ref="P8:P16" si="0">N8-N8*O8</f>
        <v>970200</v>
      </c>
      <c r="Q8">
        <v>2</v>
      </c>
      <c r="R8" s="2">
        <f t="shared" ref="R8:R16" si="1">P8*Q8</f>
        <v>1940400</v>
      </c>
    </row>
    <row r="9" spans="8:18" x14ac:dyDescent="0.25">
      <c r="H9" s="32">
        <v>45175</v>
      </c>
      <c r="I9" s="19" t="s">
        <v>40</v>
      </c>
      <c r="J9" s="19" t="s">
        <v>49</v>
      </c>
      <c r="K9" s="19" t="s">
        <v>47</v>
      </c>
      <c r="L9" s="19" t="s">
        <v>4</v>
      </c>
      <c r="M9" s="19" t="s">
        <v>5</v>
      </c>
      <c r="N9" s="2">
        <f>VLOOKUP(M9,Tablo1[[Ürün Modeli]:[Fiyat]],2,0)</f>
        <v>1500000</v>
      </c>
      <c r="O9" s="16">
        <v>0.02</v>
      </c>
      <c r="P9" s="2">
        <f t="shared" si="0"/>
        <v>1470000</v>
      </c>
      <c r="Q9">
        <v>3</v>
      </c>
      <c r="R9" s="2">
        <f t="shared" si="1"/>
        <v>4410000</v>
      </c>
    </row>
    <row r="10" spans="8:18" x14ac:dyDescent="0.25">
      <c r="H10" s="27">
        <v>45177</v>
      </c>
      <c r="I10" s="4" t="s">
        <v>40</v>
      </c>
      <c r="J10" s="4" t="s">
        <v>50</v>
      </c>
      <c r="K10" s="4" t="s">
        <v>51</v>
      </c>
      <c r="L10" s="4" t="s">
        <v>11</v>
      </c>
      <c r="M10" s="4" t="s">
        <v>9</v>
      </c>
      <c r="N10" s="2">
        <f>VLOOKUP(M10,Tablo1[[Ürün Modeli]:[Fiyat]],2,0)</f>
        <v>980000</v>
      </c>
      <c r="O10" s="16">
        <v>0.03</v>
      </c>
      <c r="P10" s="2">
        <f t="shared" si="0"/>
        <v>950600</v>
      </c>
      <c r="Q10">
        <v>4</v>
      </c>
      <c r="R10" s="2">
        <f t="shared" si="1"/>
        <v>3802400</v>
      </c>
    </row>
    <row r="11" spans="8:18" x14ac:dyDescent="0.25">
      <c r="H11" s="32">
        <v>45206</v>
      </c>
      <c r="I11" s="19" t="s">
        <v>42</v>
      </c>
      <c r="J11" s="19" t="s">
        <v>52</v>
      </c>
      <c r="K11" s="19" t="s">
        <v>53</v>
      </c>
      <c r="L11" s="19" t="s">
        <v>15</v>
      </c>
      <c r="M11" s="19" t="s">
        <v>17</v>
      </c>
      <c r="N11" s="2">
        <f>VLOOKUP(M11,Tablo1[[Ürün Modeli]:[Fiyat]],2,0)</f>
        <v>1250000</v>
      </c>
      <c r="O11" s="16">
        <v>0.02</v>
      </c>
      <c r="P11" s="2">
        <f t="shared" si="0"/>
        <v>1225000</v>
      </c>
      <c r="Q11">
        <v>1</v>
      </c>
      <c r="R11" s="2">
        <f t="shared" si="1"/>
        <v>1225000</v>
      </c>
    </row>
    <row r="12" spans="8:18" x14ac:dyDescent="0.25">
      <c r="H12" s="27">
        <v>44927</v>
      </c>
      <c r="I12" s="4" t="s">
        <v>42</v>
      </c>
      <c r="J12" s="4" t="s">
        <v>54</v>
      </c>
      <c r="K12" s="4" t="s">
        <v>55</v>
      </c>
      <c r="L12" s="4" t="s">
        <v>15</v>
      </c>
      <c r="M12" s="4" t="s">
        <v>19</v>
      </c>
      <c r="N12" s="2">
        <f>VLOOKUP(M12,Tablo1[[Ürün Modeli]:[Fiyat]],2,0)</f>
        <v>2100000</v>
      </c>
      <c r="O12" s="16">
        <v>0.04</v>
      </c>
      <c r="P12" s="2">
        <f t="shared" si="0"/>
        <v>2016000</v>
      </c>
      <c r="Q12">
        <v>2</v>
      </c>
      <c r="R12" s="2">
        <f t="shared" si="1"/>
        <v>4032000</v>
      </c>
    </row>
    <row r="13" spans="8:18" x14ac:dyDescent="0.25">
      <c r="H13" s="32">
        <v>44958</v>
      </c>
      <c r="I13" s="19" t="s">
        <v>37</v>
      </c>
      <c r="J13" s="19" t="s">
        <v>56</v>
      </c>
      <c r="K13" s="19" t="s">
        <v>57</v>
      </c>
      <c r="L13" s="19" t="s">
        <v>4</v>
      </c>
      <c r="M13" s="19" t="s">
        <v>6</v>
      </c>
      <c r="N13" s="2">
        <f>VLOOKUP(M13,Tablo1[[Ürün Modeli]:[Fiyat]],2,0)</f>
        <v>1900000</v>
      </c>
      <c r="O13" s="16">
        <v>5.4999999999999997E-3</v>
      </c>
      <c r="P13" s="2">
        <f t="shared" si="0"/>
        <v>1889550</v>
      </c>
      <c r="Q13">
        <v>2</v>
      </c>
      <c r="R13" s="2">
        <f t="shared" si="1"/>
        <v>3779100</v>
      </c>
    </row>
    <row r="14" spans="8:18" x14ac:dyDescent="0.25">
      <c r="H14" s="27">
        <v>44963</v>
      </c>
      <c r="I14" s="4" t="s">
        <v>35</v>
      </c>
      <c r="J14" s="4" t="s">
        <v>58</v>
      </c>
      <c r="K14" s="4" t="s">
        <v>47</v>
      </c>
      <c r="L14" s="4" t="s">
        <v>8</v>
      </c>
      <c r="M14" s="4" t="s">
        <v>9</v>
      </c>
      <c r="N14" s="2">
        <f>VLOOKUP(M14,Tablo1[[Ürün Modeli]:[Fiyat]],2,0)</f>
        <v>980000</v>
      </c>
      <c r="O14" s="16">
        <v>0.02</v>
      </c>
      <c r="P14" s="2">
        <f t="shared" si="0"/>
        <v>960400</v>
      </c>
      <c r="Q14">
        <v>3</v>
      </c>
      <c r="R14" s="2">
        <f t="shared" si="1"/>
        <v>2881200</v>
      </c>
    </row>
    <row r="15" spans="8:18" x14ac:dyDescent="0.25">
      <c r="H15" s="32">
        <v>44993</v>
      </c>
      <c r="I15" s="19" t="s">
        <v>40</v>
      </c>
      <c r="J15" s="19" t="s">
        <v>59</v>
      </c>
      <c r="K15" s="19" t="s">
        <v>60</v>
      </c>
      <c r="L15" s="19" t="s">
        <v>11</v>
      </c>
      <c r="M15" s="19" t="s">
        <v>14</v>
      </c>
      <c r="N15" s="2">
        <f>VLOOKUP(M15,Tablo1[[Ürün Modeli]:[Fiyat]],2,0)</f>
        <v>1685000</v>
      </c>
      <c r="O15" s="16">
        <v>0.03</v>
      </c>
      <c r="P15" s="2">
        <f t="shared" si="0"/>
        <v>1634450</v>
      </c>
      <c r="Q15">
        <v>2</v>
      </c>
      <c r="R15" s="2">
        <f t="shared" si="1"/>
        <v>3268900</v>
      </c>
    </row>
    <row r="16" spans="8:18" x14ac:dyDescent="0.25">
      <c r="H16" s="28">
        <v>44992</v>
      </c>
      <c r="I16" s="8" t="s">
        <v>35</v>
      </c>
      <c r="J16" s="8" t="s">
        <v>61</v>
      </c>
      <c r="K16" s="8" t="s">
        <v>57</v>
      </c>
      <c r="L16" s="8" t="s">
        <v>4</v>
      </c>
      <c r="M16" s="8" t="s">
        <v>16</v>
      </c>
      <c r="N16" s="29">
        <f>VLOOKUP(M16,Tablo1[[Ürün Modeli]:[Fiyat]],2,0)</f>
        <v>985000</v>
      </c>
      <c r="O16" s="30">
        <v>0.01</v>
      </c>
      <c r="P16" s="29">
        <f t="shared" si="0"/>
        <v>975150</v>
      </c>
      <c r="Q16" s="31">
        <v>4</v>
      </c>
      <c r="R16" s="29">
        <f t="shared" si="1"/>
        <v>3900600</v>
      </c>
    </row>
  </sheetData>
  <dataValidations count="1">
    <dataValidation type="list" allowBlank="1" showInputMessage="1" showErrorMessage="1" sqref="I7:I16">
      <formula1>Personeller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M13"/>
  <sheetViews>
    <sheetView zoomScale="115" zoomScaleNormal="115" workbookViewId="0"/>
  </sheetViews>
  <sheetFormatPr defaultRowHeight="15" x14ac:dyDescent="0.25"/>
  <cols>
    <col min="1" max="5" width="4.5703125" style="1" customWidth="1"/>
    <col min="6" max="6" width="3.85546875" style="1" customWidth="1"/>
    <col min="8" max="8" width="13.85546875" customWidth="1"/>
    <col min="9" max="9" width="12.140625" customWidth="1"/>
    <col min="10" max="10" width="14" customWidth="1"/>
    <col min="11" max="11" width="14.7109375" customWidth="1"/>
    <col min="12" max="12" width="23.28515625" customWidth="1"/>
    <col min="13" max="13" width="19" customWidth="1"/>
  </cols>
  <sheetData>
    <row r="7" spans="8:13" x14ac:dyDescent="0.25">
      <c r="H7" s="13" t="s">
        <v>31</v>
      </c>
      <c r="I7" s="14" t="s">
        <v>32</v>
      </c>
      <c r="J7" s="14" t="s">
        <v>33</v>
      </c>
      <c r="K7" s="14" t="s">
        <v>34</v>
      </c>
      <c r="L7" s="14" t="s">
        <v>44</v>
      </c>
      <c r="M7" s="15" t="s">
        <v>45</v>
      </c>
    </row>
    <row r="8" spans="8:13" x14ac:dyDescent="0.25">
      <c r="H8" s="3" t="s">
        <v>35</v>
      </c>
      <c r="I8" s="4" t="s">
        <v>36</v>
      </c>
      <c r="J8" s="5">
        <v>3000000</v>
      </c>
      <c r="K8" s="17">
        <v>0.01</v>
      </c>
      <c r="L8" s="5">
        <f>SUMIF(Tablo4[Satış Personeli],Tablo3[[#This Row],[Ad Soyad]],Tablo4[Toplam Tutar])</f>
        <v>11692200</v>
      </c>
      <c r="M8" s="33">
        <f>IF(Tablo3[[#This Row],[Toplam Satış Tutarı]]&gt;Tablo3[[#This Row],[Prim Limiti]],Tablo3[[#This Row],[Toplam Satış Tutarı]]*Tablo3[[#This Row],[Prim Yüzdesi]],0)</f>
        <v>116922</v>
      </c>
    </row>
    <row r="9" spans="8:13" x14ac:dyDescent="0.25">
      <c r="H9" s="23" t="s">
        <v>37</v>
      </c>
      <c r="I9" s="11" t="s">
        <v>36</v>
      </c>
      <c r="J9" s="12">
        <v>4000000</v>
      </c>
      <c r="K9" s="18">
        <v>0.02</v>
      </c>
      <c r="L9" s="5">
        <f>SUMIF(Tablo4[Satış Personeli],Tablo3[[#This Row],[Ad Soyad]],Tablo4[Toplam Tutar])</f>
        <v>3779100</v>
      </c>
      <c r="M9" s="33">
        <f>IF(Tablo3[[#This Row],[Toplam Satış Tutarı]]&gt;Tablo3[[#This Row],[Prim Limiti]],Tablo3[[#This Row],[Toplam Satış Tutarı]]*Tablo3[[#This Row],[Prim Yüzdesi]],0)</f>
        <v>0</v>
      </c>
    </row>
    <row r="10" spans="8:13" x14ac:dyDescent="0.25">
      <c r="H10" s="24" t="s">
        <v>38</v>
      </c>
      <c r="I10" s="20" t="s">
        <v>39</v>
      </c>
      <c r="J10" s="21">
        <v>4000000</v>
      </c>
      <c r="K10" s="22">
        <v>0.01</v>
      </c>
      <c r="L10" s="5">
        <f>SUMIF(Tablo4[Satış Personeli],Tablo3[[#This Row],[Ad Soyad]],Tablo4[Toplam Tutar])</f>
        <v>0</v>
      </c>
      <c r="M10" s="33">
        <f>IF(Tablo3[[#This Row],[Toplam Satış Tutarı]]&gt;Tablo3[[#This Row],[Prim Limiti]],Tablo3[[#This Row],[Toplam Satış Tutarı]]*Tablo3[[#This Row],[Prim Yüzdesi]],0)</f>
        <v>0</v>
      </c>
    </row>
    <row r="11" spans="8:13" x14ac:dyDescent="0.25">
      <c r="H11" s="23" t="s">
        <v>40</v>
      </c>
      <c r="I11" s="11" t="s">
        <v>39</v>
      </c>
      <c r="J11" s="12">
        <v>4500000</v>
      </c>
      <c r="K11" s="18">
        <v>0.01</v>
      </c>
      <c r="L11" s="5">
        <f>SUMIF(Tablo4[Satış Personeli],Tablo3[[#This Row],[Ad Soyad]],Tablo4[Toplam Tutar])</f>
        <v>11481300</v>
      </c>
      <c r="M11" s="33">
        <f>IF(Tablo3[[#This Row],[Toplam Satış Tutarı]]&gt;Tablo3[[#This Row],[Prim Limiti]],Tablo3[[#This Row],[Toplam Satış Tutarı]]*Tablo3[[#This Row],[Prim Yüzdesi]],0)</f>
        <v>114813</v>
      </c>
    </row>
    <row r="12" spans="8:13" x14ac:dyDescent="0.25">
      <c r="H12" s="24" t="s">
        <v>41</v>
      </c>
      <c r="I12" s="20" t="s">
        <v>39</v>
      </c>
      <c r="J12" s="21">
        <v>3000000</v>
      </c>
      <c r="K12" s="22">
        <v>0.02</v>
      </c>
      <c r="L12" s="5">
        <f>SUMIF(Tablo4[Satış Personeli],Tablo3[[#This Row],[Ad Soyad]],Tablo4[Toplam Tutar])</f>
        <v>0</v>
      </c>
      <c r="M12" s="33">
        <f>IF(Tablo3[[#This Row],[Toplam Satış Tutarı]]&gt;Tablo3[[#This Row],[Prim Limiti]],Tablo3[[#This Row],[Toplam Satış Tutarı]]*Tablo3[[#This Row],[Prim Yüzdesi]],0)</f>
        <v>0</v>
      </c>
    </row>
    <row r="13" spans="8:13" x14ac:dyDescent="0.25">
      <c r="H13" s="23" t="s">
        <v>42</v>
      </c>
      <c r="I13" s="11" t="s">
        <v>43</v>
      </c>
      <c r="J13" s="12">
        <v>4000000</v>
      </c>
      <c r="K13" s="18">
        <v>0.01</v>
      </c>
      <c r="L13" s="5">
        <f>SUMIF(Tablo4[Satış Personeli],Tablo3[[#This Row],[Ad Soyad]],Tablo4[Toplam Tutar])</f>
        <v>5257000</v>
      </c>
      <c r="M13" s="33">
        <f>IF(Tablo3[[#This Row],[Toplam Satış Tutarı]]&gt;Tablo3[[#This Row],[Prim Limiti]],Tablo3[[#This Row],[Toplam Satış Tutarı]]*Tablo3[[#This Row],[Prim Yüzdesi]],0)</f>
        <v>52570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7"/>
  <sheetViews>
    <sheetView topLeftCell="C1" zoomScaleNormal="100" workbookViewId="0">
      <selection activeCell="N6" sqref="N6"/>
    </sheetView>
  </sheetViews>
  <sheetFormatPr defaultRowHeight="15" x14ac:dyDescent="0.25"/>
  <cols>
    <col min="1" max="1" width="16" bestFit="1" customWidth="1"/>
    <col min="2" max="2" width="19.85546875" bestFit="1" customWidth="1"/>
    <col min="3" max="3" width="12.28515625" bestFit="1" customWidth="1"/>
    <col min="5" max="5" width="16" customWidth="1"/>
    <col min="6" max="6" width="12.28515625" customWidth="1"/>
    <col min="8" max="8" width="16" bestFit="1" customWidth="1"/>
    <col min="9" max="9" width="12.28515625" bestFit="1" customWidth="1"/>
    <col min="14" max="14" width="16" customWidth="1"/>
    <col min="15" max="15" width="12.28515625" bestFit="1" customWidth="1"/>
  </cols>
  <sheetData>
    <row r="3" spans="1:15" x14ac:dyDescent="0.25">
      <c r="A3" s="34" t="s">
        <v>62</v>
      </c>
      <c r="B3" t="s">
        <v>64</v>
      </c>
      <c r="C3" t="s">
        <v>65</v>
      </c>
      <c r="E3" s="34" t="s">
        <v>62</v>
      </c>
      <c r="F3" t="s">
        <v>65</v>
      </c>
      <c r="N3" s="34" t="s">
        <v>62</v>
      </c>
      <c r="O3" t="s">
        <v>65</v>
      </c>
    </row>
    <row r="4" spans="1:15" x14ac:dyDescent="0.25">
      <c r="A4" s="35" t="s">
        <v>35</v>
      </c>
      <c r="B4" s="2">
        <v>11692200</v>
      </c>
      <c r="C4" s="36">
        <v>11</v>
      </c>
      <c r="E4" s="35" t="s">
        <v>67</v>
      </c>
      <c r="F4" s="36">
        <v>2</v>
      </c>
      <c r="H4" s="34" t="s">
        <v>62</v>
      </c>
      <c r="I4" t="s">
        <v>65</v>
      </c>
      <c r="N4" s="35" t="s">
        <v>37</v>
      </c>
      <c r="O4" s="36">
        <v>2</v>
      </c>
    </row>
    <row r="5" spans="1:15" x14ac:dyDescent="0.25">
      <c r="A5" s="35" t="s">
        <v>40</v>
      </c>
      <c r="B5" s="2">
        <v>11481300</v>
      </c>
      <c r="C5" s="36">
        <v>9</v>
      </c>
      <c r="E5" s="35" t="s">
        <v>68</v>
      </c>
      <c r="F5" s="36">
        <v>5</v>
      </c>
      <c r="H5" s="35" t="s">
        <v>4</v>
      </c>
      <c r="I5" s="36">
        <v>11</v>
      </c>
      <c r="J5" s="35"/>
      <c r="K5" s="36"/>
      <c r="N5" s="35" t="s">
        <v>40</v>
      </c>
      <c r="O5" s="36">
        <v>9</v>
      </c>
    </row>
    <row r="6" spans="1:15" x14ac:dyDescent="0.25">
      <c r="A6" s="35" t="s">
        <v>42</v>
      </c>
      <c r="B6" s="2">
        <v>5257000</v>
      </c>
      <c r="C6" s="36">
        <v>3</v>
      </c>
      <c r="E6" s="35" t="s">
        <v>69</v>
      </c>
      <c r="F6" s="36">
        <v>6</v>
      </c>
      <c r="H6" s="35" t="s">
        <v>8</v>
      </c>
      <c r="I6" s="36">
        <v>5</v>
      </c>
      <c r="J6" s="35"/>
      <c r="K6" s="36"/>
      <c r="N6" s="35" t="s">
        <v>35</v>
      </c>
      <c r="O6" s="36">
        <v>11</v>
      </c>
    </row>
    <row r="7" spans="1:15" x14ac:dyDescent="0.25">
      <c r="A7" s="35" t="s">
        <v>37</v>
      </c>
      <c r="B7" s="2">
        <v>3779100</v>
      </c>
      <c r="C7" s="36">
        <v>2</v>
      </c>
      <c r="E7" s="35" t="s">
        <v>70</v>
      </c>
      <c r="F7" s="36">
        <v>2</v>
      </c>
      <c r="H7" s="35" t="s">
        <v>11</v>
      </c>
      <c r="I7" s="36">
        <v>6</v>
      </c>
      <c r="J7" s="35"/>
      <c r="K7" s="36"/>
      <c r="N7" s="35" t="s">
        <v>42</v>
      </c>
      <c r="O7" s="36">
        <v>3</v>
      </c>
    </row>
    <row r="8" spans="1:15" x14ac:dyDescent="0.25">
      <c r="A8" s="35" t="s">
        <v>63</v>
      </c>
      <c r="B8" s="2">
        <v>32209600</v>
      </c>
      <c r="C8" s="36">
        <v>25</v>
      </c>
      <c r="E8" s="35" t="s">
        <v>71</v>
      </c>
      <c r="F8" s="36">
        <v>9</v>
      </c>
      <c r="H8" s="35" t="s">
        <v>15</v>
      </c>
      <c r="I8" s="36">
        <v>3</v>
      </c>
      <c r="J8" s="35"/>
      <c r="K8" s="36"/>
      <c r="N8" s="35" t="s">
        <v>63</v>
      </c>
      <c r="O8" s="36">
        <v>25</v>
      </c>
    </row>
    <row r="9" spans="1:15" x14ac:dyDescent="0.25">
      <c r="E9" s="35" t="s">
        <v>72</v>
      </c>
      <c r="F9" s="36">
        <v>1</v>
      </c>
      <c r="H9" s="35" t="s">
        <v>63</v>
      </c>
      <c r="I9" s="36">
        <v>25</v>
      </c>
      <c r="J9" s="35"/>
      <c r="K9" s="36"/>
    </row>
    <row r="10" spans="1:15" x14ac:dyDescent="0.25">
      <c r="E10" s="35" t="s">
        <v>63</v>
      </c>
      <c r="F10" s="36">
        <v>25</v>
      </c>
      <c r="J10" s="35"/>
      <c r="K10" s="36"/>
    </row>
    <row r="11" spans="1:15" x14ac:dyDescent="0.25">
      <c r="J11" s="35"/>
      <c r="K11" s="36"/>
    </row>
    <row r="17" spans="11:11" x14ac:dyDescent="0.25">
      <c r="K17" t="s">
        <v>66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1</vt:i4>
      </vt:variant>
    </vt:vector>
  </HeadingPairs>
  <TitlesOfParts>
    <vt:vector size="6" baseType="lpstr">
      <vt:lpstr>Ana Sayfa</vt:lpstr>
      <vt:lpstr>Ürünler</vt:lpstr>
      <vt:lpstr>Satışlar</vt:lpstr>
      <vt:lpstr>Personeller</vt:lpstr>
      <vt:lpstr>Veri Tabani</vt:lpstr>
      <vt:lpstr>Personeller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Aslan</dc:creator>
  <cp:lastModifiedBy>Mert Aslan</cp:lastModifiedBy>
  <dcterms:created xsi:type="dcterms:W3CDTF">2026-03-07T20:34:26Z</dcterms:created>
  <dcterms:modified xsi:type="dcterms:W3CDTF">2026-03-11T14:32:41Z</dcterms:modified>
</cp:coreProperties>
</file>