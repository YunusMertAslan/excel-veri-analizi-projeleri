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8800" windowHeight="12225" activeTab="1"/>
  </bookViews>
  <sheets>
    <sheet name="Personel Listesi" sheetId="1" r:id="rId1"/>
    <sheet name="Puantaj Programı Oluşturmak" sheetId="3" r:id="rId2"/>
    <sheet name="Veri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0" i="3" l="1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9" i="3"/>
  <c r="AS9" i="3"/>
  <c r="AR9" i="3"/>
  <c r="AQ9" i="3"/>
  <c r="AP9" i="3"/>
  <c r="AO9" i="3"/>
  <c r="AN9" i="3"/>
  <c r="C6" i="2"/>
  <c r="C5" i="2"/>
  <c r="C4" i="2"/>
  <c r="C3" i="2"/>
  <c r="C2" i="2"/>
  <c r="H5" i="3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L4" i="3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A10" i="2"/>
  <c r="A9" i="2" s="1"/>
  <c r="A8" i="2" s="1"/>
  <c r="A7" i="2" s="1"/>
  <c r="A6" i="2" s="1"/>
  <c r="A5" i="2" s="1"/>
  <c r="A4" i="2" s="1"/>
  <c r="A3" i="2" s="1"/>
  <c r="A2" i="2" s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9" i="3"/>
  <c r="J4" i="3" l="1"/>
  <c r="J3" i="3"/>
  <c r="I3" i="3"/>
  <c r="AA4" i="3"/>
  <c r="S4" i="3"/>
  <c r="AI4" i="3"/>
  <c r="K4" i="3"/>
  <c r="AH3" i="3"/>
  <c r="Z3" i="3"/>
  <c r="R3" i="3"/>
  <c r="AG4" i="3"/>
  <c r="Y4" i="3"/>
  <c r="Q4" i="3"/>
  <c r="I4" i="3"/>
  <c r="AF3" i="3"/>
  <c r="X3" i="3"/>
  <c r="P3" i="3"/>
  <c r="AF4" i="3"/>
  <c r="X4" i="3"/>
  <c r="P4" i="3"/>
  <c r="H3" i="3"/>
  <c r="AE3" i="3"/>
  <c r="W3" i="3"/>
  <c r="O3" i="3"/>
  <c r="H4" i="3"/>
  <c r="AE4" i="3"/>
  <c r="W4" i="3"/>
  <c r="O4" i="3"/>
  <c r="AL3" i="3"/>
  <c r="AD3" i="3"/>
  <c r="V3" i="3"/>
  <c r="N3" i="3"/>
  <c r="R4" i="3"/>
  <c r="Q3" i="3"/>
  <c r="AD4" i="3"/>
  <c r="V4" i="3"/>
  <c r="N4" i="3"/>
  <c r="AK3" i="3"/>
  <c r="AC3" i="3"/>
  <c r="U3" i="3"/>
  <c r="M3" i="3"/>
  <c r="AH4" i="3"/>
  <c r="AG3" i="3"/>
  <c r="AK4" i="3"/>
  <c r="AC4" i="3"/>
  <c r="U4" i="3"/>
  <c r="M4" i="3"/>
  <c r="AJ3" i="3"/>
  <c r="AB3" i="3"/>
  <c r="T3" i="3"/>
  <c r="L3" i="3"/>
  <c r="Z4" i="3"/>
  <c r="Y3" i="3"/>
  <c r="AJ4" i="3"/>
  <c r="AB4" i="3"/>
  <c r="T4" i="3"/>
  <c r="L4" i="3"/>
  <c r="AI3" i="3"/>
  <c r="AA3" i="3"/>
  <c r="S3" i="3"/>
  <c r="K3" i="3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<sst xmlns="http://schemas.openxmlformats.org/spreadsheetml/2006/main" count="663" uniqueCount="92">
  <si>
    <t>Sıra No</t>
  </si>
  <si>
    <t>Adı</t>
  </si>
  <si>
    <t>Soyadı</t>
  </si>
  <si>
    <t>Birimi</t>
  </si>
  <si>
    <t>Görevi</t>
  </si>
  <si>
    <t>İşe Başlama
Tarihi</t>
  </si>
  <si>
    <t>Cinsiyeti</t>
  </si>
  <si>
    <t>Yaşı</t>
  </si>
  <si>
    <t>Günlük Ücreti</t>
  </si>
  <si>
    <t xml:space="preserve">Ahmet </t>
  </si>
  <si>
    <t>Yavuz</t>
  </si>
  <si>
    <t>Üretim</t>
  </si>
  <si>
    <t>Montaj</t>
  </si>
  <si>
    <t>Erkek</t>
  </si>
  <si>
    <t>Aslı</t>
  </si>
  <si>
    <t>Kara</t>
  </si>
  <si>
    <t>Teknik Ofis</t>
  </si>
  <si>
    <t>Teknik Ressam</t>
  </si>
  <si>
    <t>Kadın</t>
  </si>
  <si>
    <t>Akif</t>
  </si>
  <si>
    <t>Karaca</t>
  </si>
  <si>
    <t>Satınalma</t>
  </si>
  <si>
    <t>Teklif Talep</t>
  </si>
  <si>
    <t>Ayça</t>
  </si>
  <si>
    <t>Karakuzu</t>
  </si>
  <si>
    <t>Kaynak</t>
  </si>
  <si>
    <t>Zeynep</t>
  </si>
  <si>
    <t>Yılmaz</t>
  </si>
  <si>
    <t>Sevkiyat</t>
  </si>
  <si>
    <t>Gaye</t>
  </si>
  <si>
    <t>Tansel</t>
  </si>
  <si>
    <t>Raporlama</t>
  </si>
  <si>
    <t>Burak</t>
  </si>
  <si>
    <t>Sarkım</t>
  </si>
  <si>
    <t>Otomasyon Sorumlusu</t>
  </si>
  <si>
    <t xml:space="preserve">Burcu </t>
  </si>
  <si>
    <t>Kasım</t>
  </si>
  <si>
    <t>Deniz</t>
  </si>
  <si>
    <t>Ahmet</t>
  </si>
  <si>
    <t>Altunkaya</t>
  </si>
  <si>
    <t>Muhasebe</t>
  </si>
  <si>
    <t>Veri Girişi</t>
  </si>
  <si>
    <t>Rıza</t>
  </si>
  <si>
    <t>Sönmez</t>
  </si>
  <si>
    <t xml:space="preserve">Yaşam </t>
  </si>
  <si>
    <t>Er</t>
  </si>
  <si>
    <t>Arif</t>
  </si>
  <si>
    <t>Sağlam</t>
  </si>
  <si>
    <t>Satış</t>
  </si>
  <si>
    <t>Tekliflendirme</t>
  </si>
  <si>
    <t xml:space="preserve">İsmail </t>
  </si>
  <si>
    <t>Tekin</t>
  </si>
  <si>
    <t>Sibel</t>
  </si>
  <si>
    <t>Karadağ</t>
  </si>
  <si>
    <t>Gülce</t>
  </si>
  <si>
    <t>Kalecikli</t>
  </si>
  <si>
    <t>Ar-Ge Sorumlusu</t>
  </si>
  <si>
    <t>Emre</t>
  </si>
  <si>
    <t>Sel</t>
  </si>
  <si>
    <t>Satınalma Sorumlusu</t>
  </si>
  <si>
    <t xml:space="preserve">Emre </t>
  </si>
  <si>
    <t>Ağmil</t>
  </si>
  <si>
    <t xml:space="preserve">Betül </t>
  </si>
  <si>
    <t>Alpaslan</t>
  </si>
  <si>
    <t xml:space="preserve">Bekir </t>
  </si>
  <si>
    <t>Çolak</t>
  </si>
  <si>
    <t xml:space="preserve">Emine </t>
  </si>
  <si>
    <t>Karahan</t>
  </si>
  <si>
    <t>Üretim Sorumlusu</t>
  </si>
  <si>
    <t>Yıllar</t>
  </si>
  <si>
    <t>Aylar</t>
  </si>
  <si>
    <t>Durum</t>
  </si>
  <si>
    <t>Personel Adı</t>
  </si>
  <si>
    <t>Toplam
Haftasonu
Gün
Sayısı</t>
  </si>
  <si>
    <t>Toplam
Çalıştığı
Gün
Sayısı</t>
  </si>
  <si>
    <t>Toplam
Raporlu
Gün
Sayısı</t>
  </si>
  <si>
    <t>Toplam
Resmi Tatil
Gün
Sayısı</t>
  </si>
  <si>
    <t>Toplam
Ücrestsiz
İzinli Gün
Gün
Sayısı</t>
  </si>
  <si>
    <t>Toplam
Yıllık
İzinli</t>
  </si>
  <si>
    <t>Hak
Edilen
Tutar</t>
  </si>
  <si>
    <t>Yıl Seçiniz</t>
  </si>
  <si>
    <t>Ay Seçiniz</t>
  </si>
  <si>
    <t>Çalışıyor</t>
  </si>
  <si>
    <t>Yıllık İzinli</t>
  </si>
  <si>
    <t>Ç</t>
  </si>
  <si>
    <t>Yİ</t>
  </si>
  <si>
    <t>Raporlu</t>
  </si>
  <si>
    <t>Resmi Tatil</t>
  </si>
  <si>
    <t>R</t>
  </si>
  <si>
    <t>RT</t>
  </si>
  <si>
    <t>Ücretsiz İzin</t>
  </si>
  <si>
    <t>Üİ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</si>
</sst>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₺&quot;#,##0.00"/>
    <numFmt numFmtId="165" formatCode="[$-F800]dddd\,\ mmmm\ dd\,\ yyyy"/>
    <numFmt numFmtId="166" formatCode="mmm"/>
    <numFmt numFmtId="167" formatCode="dd\ ddd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2"/>
      <color theme="4" tint="-0.499984740745262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4" borderId="0" xfId="0" applyFill="1"/>
    <xf numFmtId="0" fontId="0" fillId="0" borderId="2" xfId="0" applyBorder="1"/>
    <xf numFmtId="0" fontId="3" fillId="4" borderId="2" xfId="0" applyFont="1" applyFill="1" applyBorder="1"/>
    <xf numFmtId="0" fontId="3" fillId="4" borderId="0" xfId="0" applyFont="1" applyFill="1"/>
    <xf numFmtId="14" fontId="0" fillId="0" borderId="0" xfId="0" applyNumberFormat="1" applyAlignment="1">
      <alignment horizontal="center"/>
    </xf>
    <xf numFmtId="1" fontId="0" fillId="4" borderId="0" xfId="0" applyNumberFormat="1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/>
    </xf>
    <xf numFmtId="166" fontId="3" fillId="4" borderId="0" xfId="0" applyNumberFormat="1" applyFont="1" applyFill="1" applyBorder="1" applyAlignment="1">
      <alignment horizontal="center"/>
    </xf>
    <xf numFmtId="0" fontId="3" fillId="4" borderId="0" xfId="0" applyFont="1" applyFill="1" applyBorder="1"/>
    <xf numFmtId="0" fontId="3" fillId="3" borderId="5" xfId="0" applyFont="1" applyFill="1" applyBorder="1" applyAlignment="1">
      <alignment horizontal="center"/>
    </xf>
    <xf numFmtId="166" fontId="3" fillId="3" borderId="5" xfId="0" applyNumberFormat="1" applyFont="1" applyFill="1" applyBorder="1" applyAlignment="1">
      <alignment horizontal="center"/>
    </xf>
    <xf numFmtId="0" fontId="3" fillId="3" borderId="2" xfId="0" applyFont="1" applyFill="1" applyBorder="1"/>
    <xf numFmtId="164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167" fontId="0" fillId="4" borderId="2" xfId="0" applyNumberFormat="1" applyFill="1" applyBorder="1" applyAlignment="1">
      <alignment horizontal="center" textRotation="90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B28" sqref="B28"/>
    </sheetView>
  </sheetViews>
  <sheetFormatPr defaultRowHeight="15" x14ac:dyDescent="0.25"/>
  <cols>
    <col min="1" max="1" width="7.7109375" bestFit="1" customWidth="1"/>
    <col min="2" max="2" width="12" bestFit="1" customWidth="1"/>
    <col min="6" max="6" width="20.7109375" bestFit="1" customWidth="1"/>
    <col min="7" max="7" width="10.7109375" customWidth="1"/>
    <col min="10" max="10" width="14" bestFit="1" customWidth="1"/>
  </cols>
  <sheetData>
    <row r="1" spans="1:10" ht="48" thickBot="1" x14ac:dyDescent="0.3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>
        <v>1</v>
      </c>
      <c r="B2" t="str">
        <f>CONCATENATE(C2," ",D2)</f>
        <v>Ahmet  Yavuz</v>
      </c>
      <c r="C2" t="s">
        <v>9</v>
      </c>
      <c r="D2" t="s">
        <v>10</v>
      </c>
      <c r="E2" t="s">
        <v>11</v>
      </c>
      <c r="F2" t="s">
        <v>12</v>
      </c>
      <c r="G2" s="4">
        <v>35829</v>
      </c>
      <c r="H2" t="s">
        <v>13</v>
      </c>
      <c r="I2">
        <v>52</v>
      </c>
      <c r="J2" s="5">
        <v>120</v>
      </c>
    </row>
    <row r="3" spans="1:10" x14ac:dyDescent="0.25">
      <c r="A3">
        <v>2</v>
      </c>
      <c r="B3" t="str">
        <f t="shared" ref="B3:B22" si="0">CONCATENATE(C3," ",D3)</f>
        <v>Aslı Kara</v>
      </c>
      <c r="C3" t="s">
        <v>14</v>
      </c>
      <c r="D3" t="s">
        <v>15</v>
      </c>
      <c r="E3" t="s">
        <v>16</v>
      </c>
      <c r="F3" t="s">
        <v>17</v>
      </c>
      <c r="G3" s="4">
        <v>36715</v>
      </c>
      <c r="H3" t="s">
        <v>18</v>
      </c>
      <c r="I3">
        <v>49</v>
      </c>
      <c r="J3" s="5">
        <v>115</v>
      </c>
    </row>
    <row r="4" spans="1:10" x14ac:dyDescent="0.25">
      <c r="A4">
        <v>3</v>
      </c>
      <c r="B4" t="str">
        <f t="shared" si="0"/>
        <v>Akif Karaca</v>
      </c>
      <c r="C4" t="s">
        <v>19</v>
      </c>
      <c r="D4" t="s">
        <v>20</v>
      </c>
      <c r="E4" t="s">
        <v>21</v>
      </c>
      <c r="F4" t="s">
        <v>22</v>
      </c>
      <c r="G4" s="4">
        <v>37876</v>
      </c>
      <c r="H4" t="s">
        <v>13</v>
      </c>
      <c r="I4">
        <v>52</v>
      </c>
      <c r="J4" s="5">
        <v>180</v>
      </c>
    </row>
    <row r="5" spans="1:10" x14ac:dyDescent="0.25">
      <c r="A5">
        <v>4</v>
      </c>
      <c r="B5" t="str">
        <f t="shared" si="0"/>
        <v>Ayça Karakuzu</v>
      </c>
      <c r="C5" t="s">
        <v>23</v>
      </c>
      <c r="D5" t="s">
        <v>24</v>
      </c>
      <c r="E5" t="s">
        <v>11</v>
      </c>
      <c r="F5" t="s">
        <v>25</v>
      </c>
      <c r="G5" s="4">
        <v>38944</v>
      </c>
      <c r="H5" t="s">
        <v>18</v>
      </c>
      <c r="I5">
        <v>48</v>
      </c>
      <c r="J5" s="5">
        <v>130</v>
      </c>
    </row>
    <row r="6" spans="1:10" x14ac:dyDescent="0.25">
      <c r="A6">
        <v>5</v>
      </c>
      <c r="B6" t="str">
        <f t="shared" si="0"/>
        <v>Zeynep Yılmaz</v>
      </c>
      <c r="C6" t="s">
        <v>26</v>
      </c>
      <c r="D6" t="s">
        <v>27</v>
      </c>
      <c r="E6" t="s">
        <v>11</v>
      </c>
      <c r="F6" t="s">
        <v>28</v>
      </c>
      <c r="G6" s="4">
        <v>40166</v>
      </c>
      <c r="H6" t="s">
        <v>18</v>
      </c>
      <c r="I6">
        <v>45</v>
      </c>
      <c r="J6" s="5">
        <v>145</v>
      </c>
    </row>
    <row r="7" spans="1:10" x14ac:dyDescent="0.25">
      <c r="A7">
        <v>6</v>
      </c>
      <c r="B7" t="str">
        <f t="shared" si="0"/>
        <v>Gaye Tansel</v>
      </c>
      <c r="C7" t="s">
        <v>29</v>
      </c>
      <c r="D7" t="s">
        <v>30</v>
      </c>
      <c r="E7" t="s">
        <v>21</v>
      </c>
      <c r="F7" t="s">
        <v>31</v>
      </c>
      <c r="G7" s="4">
        <v>40258</v>
      </c>
      <c r="H7" t="s">
        <v>18</v>
      </c>
      <c r="I7">
        <v>38</v>
      </c>
      <c r="J7" s="5">
        <v>178</v>
      </c>
    </row>
    <row r="8" spans="1:10" x14ac:dyDescent="0.25">
      <c r="A8">
        <v>7</v>
      </c>
      <c r="B8" t="str">
        <f t="shared" si="0"/>
        <v>Burak Sarkım</v>
      </c>
      <c r="C8" t="s">
        <v>32</v>
      </c>
      <c r="D8" t="s">
        <v>33</v>
      </c>
      <c r="E8" t="s">
        <v>16</v>
      </c>
      <c r="F8" t="s">
        <v>34</v>
      </c>
      <c r="G8" s="4">
        <v>40409</v>
      </c>
      <c r="H8" t="s">
        <v>13</v>
      </c>
      <c r="I8">
        <v>42</v>
      </c>
      <c r="J8" s="5">
        <v>140</v>
      </c>
    </row>
    <row r="9" spans="1:10" x14ac:dyDescent="0.25">
      <c r="A9">
        <v>8</v>
      </c>
      <c r="B9" t="str">
        <f t="shared" si="0"/>
        <v>Burcu  Yılmaz</v>
      </c>
      <c r="C9" t="s">
        <v>35</v>
      </c>
      <c r="D9" t="s">
        <v>27</v>
      </c>
      <c r="E9" t="s">
        <v>11</v>
      </c>
      <c r="F9" t="s">
        <v>12</v>
      </c>
      <c r="G9" s="4">
        <v>40577</v>
      </c>
      <c r="H9" t="s">
        <v>18</v>
      </c>
      <c r="I9">
        <v>45</v>
      </c>
      <c r="J9" s="5">
        <v>120</v>
      </c>
    </row>
    <row r="10" spans="1:10" x14ac:dyDescent="0.25">
      <c r="A10">
        <v>9</v>
      </c>
      <c r="B10" t="str">
        <f t="shared" si="0"/>
        <v>Kasım Deniz</v>
      </c>
      <c r="C10" t="s">
        <v>36</v>
      </c>
      <c r="D10" t="s">
        <v>37</v>
      </c>
      <c r="E10" t="s">
        <v>11</v>
      </c>
      <c r="F10" t="s">
        <v>25</v>
      </c>
      <c r="G10" s="4">
        <v>40745</v>
      </c>
      <c r="H10" t="s">
        <v>13</v>
      </c>
      <c r="I10">
        <v>32</v>
      </c>
      <c r="J10" s="5">
        <v>130</v>
      </c>
    </row>
    <row r="11" spans="1:10" x14ac:dyDescent="0.25">
      <c r="A11">
        <v>10</v>
      </c>
      <c r="B11" t="str">
        <f t="shared" si="0"/>
        <v>Ahmet Altunkaya</v>
      </c>
      <c r="C11" t="s">
        <v>38</v>
      </c>
      <c r="D11" t="s">
        <v>39</v>
      </c>
      <c r="E11" t="s">
        <v>40</v>
      </c>
      <c r="F11" t="s">
        <v>41</v>
      </c>
      <c r="G11" s="4">
        <v>40913</v>
      </c>
      <c r="H11" t="s">
        <v>18</v>
      </c>
      <c r="I11">
        <v>35</v>
      </c>
      <c r="J11" s="5">
        <v>125</v>
      </c>
    </row>
    <row r="12" spans="1:10" x14ac:dyDescent="0.25">
      <c r="A12">
        <v>11</v>
      </c>
      <c r="B12" t="str">
        <f t="shared" si="0"/>
        <v>Rıza Sönmez</v>
      </c>
      <c r="C12" t="s">
        <v>42</v>
      </c>
      <c r="D12" t="s">
        <v>43</v>
      </c>
      <c r="E12" t="s">
        <v>21</v>
      </c>
      <c r="F12" t="s">
        <v>22</v>
      </c>
      <c r="G12" s="4">
        <v>41081</v>
      </c>
      <c r="H12" t="s">
        <v>13</v>
      </c>
      <c r="I12">
        <v>33</v>
      </c>
      <c r="J12" s="5">
        <v>130</v>
      </c>
    </row>
    <row r="13" spans="1:10" x14ac:dyDescent="0.25">
      <c r="A13">
        <v>12</v>
      </c>
      <c r="B13" t="str">
        <f t="shared" si="0"/>
        <v>Yaşam  Er</v>
      </c>
      <c r="C13" t="s">
        <v>44</v>
      </c>
      <c r="D13" t="s">
        <v>45</v>
      </c>
      <c r="E13" t="s">
        <v>11</v>
      </c>
      <c r="F13" t="s">
        <v>12</v>
      </c>
      <c r="G13" s="4">
        <v>41249</v>
      </c>
      <c r="H13" t="s">
        <v>18</v>
      </c>
      <c r="I13">
        <v>29</v>
      </c>
      <c r="J13" s="5">
        <v>180</v>
      </c>
    </row>
    <row r="14" spans="1:10" x14ac:dyDescent="0.25">
      <c r="A14">
        <v>13</v>
      </c>
      <c r="B14" t="str">
        <f t="shared" si="0"/>
        <v>Arif Sağlam</v>
      </c>
      <c r="C14" t="s">
        <v>46</v>
      </c>
      <c r="D14" t="s">
        <v>47</v>
      </c>
      <c r="E14" t="s">
        <v>48</v>
      </c>
      <c r="F14" t="s">
        <v>49</v>
      </c>
      <c r="G14" s="4">
        <v>41417</v>
      </c>
      <c r="H14" t="s">
        <v>13</v>
      </c>
      <c r="I14">
        <v>31</v>
      </c>
      <c r="J14" s="5">
        <v>120</v>
      </c>
    </row>
    <row r="15" spans="1:10" x14ac:dyDescent="0.25">
      <c r="A15">
        <v>14</v>
      </c>
      <c r="B15" t="str">
        <f t="shared" si="0"/>
        <v>İsmail  Tekin</v>
      </c>
      <c r="C15" t="s">
        <v>50</v>
      </c>
      <c r="D15" t="s">
        <v>51</v>
      </c>
      <c r="E15" t="s">
        <v>11</v>
      </c>
      <c r="F15" t="s">
        <v>12</v>
      </c>
      <c r="G15" s="4">
        <v>41585</v>
      </c>
      <c r="H15" t="s">
        <v>13</v>
      </c>
      <c r="I15">
        <v>38</v>
      </c>
      <c r="J15" s="5">
        <v>115</v>
      </c>
    </row>
    <row r="16" spans="1:10" x14ac:dyDescent="0.25">
      <c r="A16">
        <v>15</v>
      </c>
      <c r="B16" t="str">
        <f t="shared" si="0"/>
        <v>Sibel Karadağ</v>
      </c>
      <c r="C16" t="s">
        <v>52</v>
      </c>
      <c r="D16" t="s">
        <v>53</v>
      </c>
      <c r="E16" t="s">
        <v>11</v>
      </c>
      <c r="F16" t="s">
        <v>12</v>
      </c>
      <c r="G16" s="4">
        <v>41753</v>
      </c>
      <c r="H16" t="s">
        <v>18</v>
      </c>
      <c r="I16">
        <v>27</v>
      </c>
      <c r="J16" s="5">
        <v>120</v>
      </c>
    </row>
    <row r="17" spans="1:10" x14ac:dyDescent="0.25">
      <c r="A17">
        <v>16</v>
      </c>
      <c r="B17" t="str">
        <f t="shared" si="0"/>
        <v>Gülce Kalecikli</v>
      </c>
      <c r="C17" t="s">
        <v>54</v>
      </c>
      <c r="D17" t="s">
        <v>55</v>
      </c>
      <c r="E17" t="s">
        <v>16</v>
      </c>
      <c r="F17" t="s">
        <v>56</v>
      </c>
      <c r="G17" s="4">
        <v>41921</v>
      </c>
      <c r="H17" t="s">
        <v>18</v>
      </c>
      <c r="I17">
        <v>36</v>
      </c>
      <c r="J17" s="5">
        <v>130</v>
      </c>
    </row>
    <row r="18" spans="1:10" x14ac:dyDescent="0.25">
      <c r="A18">
        <v>17</v>
      </c>
      <c r="B18" t="str">
        <f t="shared" si="0"/>
        <v>Emre Sel</v>
      </c>
      <c r="C18" t="s">
        <v>57</v>
      </c>
      <c r="D18" t="s">
        <v>58</v>
      </c>
      <c r="E18" t="s">
        <v>21</v>
      </c>
      <c r="F18" t="s">
        <v>59</v>
      </c>
      <c r="G18" s="4">
        <v>42089</v>
      </c>
      <c r="H18" t="s">
        <v>13</v>
      </c>
      <c r="I18">
        <v>28</v>
      </c>
      <c r="J18" s="5">
        <v>149</v>
      </c>
    </row>
    <row r="19" spans="1:10" x14ac:dyDescent="0.25">
      <c r="A19">
        <v>18</v>
      </c>
      <c r="B19" t="str">
        <f t="shared" si="0"/>
        <v>Emre  Ağmil</v>
      </c>
      <c r="C19" t="s">
        <v>60</v>
      </c>
      <c r="D19" t="s">
        <v>61</v>
      </c>
      <c r="E19" t="s">
        <v>11</v>
      </c>
      <c r="F19" t="s">
        <v>12</v>
      </c>
      <c r="G19" s="4">
        <v>42257</v>
      </c>
      <c r="H19" t="s">
        <v>13</v>
      </c>
      <c r="I19">
        <v>34</v>
      </c>
      <c r="J19" s="5">
        <v>150</v>
      </c>
    </row>
    <row r="20" spans="1:10" x14ac:dyDescent="0.25">
      <c r="A20">
        <v>19</v>
      </c>
      <c r="B20" t="str">
        <f t="shared" si="0"/>
        <v>Betül  Alpaslan</v>
      </c>
      <c r="C20" t="s">
        <v>62</v>
      </c>
      <c r="D20" t="s">
        <v>63</v>
      </c>
      <c r="E20" t="s">
        <v>11</v>
      </c>
      <c r="F20" t="s">
        <v>12</v>
      </c>
      <c r="G20" s="4">
        <v>42425</v>
      </c>
      <c r="H20" t="s">
        <v>18</v>
      </c>
      <c r="I20">
        <v>52</v>
      </c>
      <c r="J20" s="5">
        <v>130</v>
      </c>
    </row>
    <row r="21" spans="1:10" x14ac:dyDescent="0.25">
      <c r="A21">
        <v>20</v>
      </c>
      <c r="B21" t="str">
        <f t="shared" si="0"/>
        <v>Bekir  Çolak</v>
      </c>
      <c r="C21" t="s">
        <v>64</v>
      </c>
      <c r="D21" t="s">
        <v>65</v>
      </c>
      <c r="E21" t="s">
        <v>11</v>
      </c>
      <c r="F21" t="s">
        <v>25</v>
      </c>
      <c r="G21" s="4">
        <v>42593</v>
      </c>
      <c r="H21" t="s">
        <v>13</v>
      </c>
      <c r="I21">
        <v>28</v>
      </c>
      <c r="J21" s="5">
        <v>98</v>
      </c>
    </row>
    <row r="22" spans="1:10" x14ac:dyDescent="0.25">
      <c r="A22">
        <v>21</v>
      </c>
      <c r="B22" t="str">
        <f t="shared" si="0"/>
        <v>Emine  Karahan</v>
      </c>
      <c r="C22" t="s">
        <v>66</v>
      </c>
      <c r="D22" t="s">
        <v>67</v>
      </c>
      <c r="E22" t="s">
        <v>11</v>
      </c>
      <c r="F22" t="s">
        <v>68</v>
      </c>
      <c r="G22" s="4">
        <v>42761</v>
      </c>
      <c r="H22" t="s">
        <v>18</v>
      </c>
      <c r="I22">
        <v>27</v>
      </c>
      <c r="J22" s="5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2"/>
  <sheetViews>
    <sheetView tabSelected="1" topLeftCell="C1" zoomScaleNormal="100" workbookViewId="0">
      <selection activeCell="AS10" sqref="AS10"/>
    </sheetView>
  </sheetViews>
  <sheetFormatPr defaultRowHeight="15" x14ac:dyDescent="0.25"/>
  <cols>
    <col min="3" max="3" width="11.7109375" customWidth="1"/>
    <col min="7" max="7" width="10.7109375" bestFit="1" customWidth="1"/>
    <col min="8" max="13" width="4.140625" customWidth="1"/>
    <col min="14" max="14" width="3.28515625" bestFit="1" customWidth="1"/>
    <col min="15" max="19" width="4.140625" customWidth="1"/>
    <col min="20" max="20" width="3.140625" bestFit="1" customWidth="1"/>
    <col min="21" max="38" width="4.140625" customWidth="1"/>
    <col min="39" max="39" width="10.7109375" bestFit="1" customWidth="1"/>
    <col min="40" max="41" width="8" bestFit="1" customWidth="1"/>
    <col min="42" max="42" width="8.42578125" bestFit="1" customWidth="1"/>
    <col min="43" max="43" width="11.5703125" bestFit="1" customWidth="1"/>
    <col min="44" max="44" width="10" bestFit="1" customWidth="1"/>
    <col min="45" max="45" width="11.5703125" customWidth="1"/>
  </cols>
  <sheetData>
    <row r="1" spans="1:49" x14ac:dyDescent="0.25">
      <c r="A1" s="11"/>
      <c r="B1" s="11"/>
      <c r="C1" s="11"/>
      <c r="D1" s="27" t="s">
        <v>80</v>
      </c>
      <c r="E1" s="27"/>
      <c r="F1" s="20">
        <v>2021</v>
      </c>
      <c r="G1" s="13" t="s">
        <v>82</v>
      </c>
      <c r="H1" s="22" t="s">
        <v>84</v>
      </c>
      <c r="I1" s="14"/>
      <c r="J1" s="14"/>
      <c r="K1" s="27" t="s">
        <v>86</v>
      </c>
      <c r="L1" s="27"/>
      <c r="M1" s="27"/>
      <c r="N1" s="22" t="s">
        <v>88</v>
      </c>
      <c r="O1" s="14"/>
      <c r="P1" s="14"/>
      <c r="Q1" s="27" t="s">
        <v>90</v>
      </c>
      <c r="R1" s="27"/>
      <c r="S1" s="27"/>
      <c r="T1" s="22" t="s">
        <v>91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x14ac:dyDescent="0.25">
      <c r="A2" s="11"/>
      <c r="B2" s="11"/>
      <c r="C2" s="11"/>
      <c r="D2" s="27" t="s">
        <v>81</v>
      </c>
      <c r="E2" s="27"/>
      <c r="F2" s="21">
        <v>44228</v>
      </c>
      <c r="G2" s="13" t="s">
        <v>83</v>
      </c>
      <c r="H2" s="22" t="s">
        <v>85</v>
      </c>
      <c r="I2" s="14"/>
      <c r="J2" s="14"/>
      <c r="K2" s="27" t="s">
        <v>87</v>
      </c>
      <c r="L2" s="27"/>
      <c r="M2" s="27"/>
      <c r="N2" s="22" t="s">
        <v>89</v>
      </c>
      <c r="O2" s="14"/>
      <c r="P2" s="14"/>
      <c r="Q2" s="14"/>
      <c r="R2" s="14"/>
      <c r="S2" s="14"/>
      <c r="T2" s="14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x14ac:dyDescent="0.25">
      <c r="A3" s="11"/>
      <c r="B3" s="11"/>
      <c r="C3" s="11"/>
      <c r="D3" s="17"/>
      <c r="E3" s="17"/>
      <c r="F3" s="18"/>
      <c r="G3" s="19"/>
      <c r="H3" s="17">
        <f>MONTH(H5)</f>
        <v>2</v>
      </c>
      <c r="I3" s="17">
        <f t="shared" ref="I3:AL3" si="0">MONTH(I5)</f>
        <v>2</v>
      </c>
      <c r="J3" s="17">
        <f t="shared" si="0"/>
        <v>2</v>
      </c>
      <c r="K3" s="17">
        <f t="shared" si="0"/>
        <v>2</v>
      </c>
      <c r="L3" s="17">
        <f t="shared" si="0"/>
        <v>2</v>
      </c>
      <c r="M3" s="17">
        <f t="shared" si="0"/>
        <v>2</v>
      </c>
      <c r="N3" s="17">
        <f t="shared" si="0"/>
        <v>2</v>
      </c>
      <c r="O3" s="17">
        <f t="shared" si="0"/>
        <v>2</v>
      </c>
      <c r="P3" s="17">
        <f t="shared" si="0"/>
        <v>2</v>
      </c>
      <c r="Q3" s="17">
        <f t="shared" si="0"/>
        <v>2</v>
      </c>
      <c r="R3" s="17">
        <f t="shared" si="0"/>
        <v>2</v>
      </c>
      <c r="S3" s="17">
        <f t="shared" si="0"/>
        <v>2</v>
      </c>
      <c r="T3" s="17">
        <f t="shared" si="0"/>
        <v>2</v>
      </c>
      <c r="U3" s="17">
        <f t="shared" si="0"/>
        <v>2</v>
      </c>
      <c r="V3" s="17">
        <f t="shared" si="0"/>
        <v>2</v>
      </c>
      <c r="W3" s="17">
        <f t="shared" si="0"/>
        <v>2</v>
      </c>
      <c r="X3" s="17">
        <f t="shared" si="0"/>
        <v>2</v>
      </c>
      <c r="Y3" s="17">
        <f t="shared" si="0"/>
        <v>2</v>
      </c>
      <c r="Z3" s="17">
        <f t="shared" si="0"/>
        <v>2</v>
      </c>
      <c r="AA3" s="17">
        <f t="shared" si="0"/>
        <v>2</v>
      </c>
      <c r="AB3" s="17">
        <f t="shared" si="0"/>
        <v>2</v>
      </c>
      <c r="AC3" s="17">
        <f t="shared" si="0"/>
        <v>2</v>
      </c>
      <c r="AD3" s="17">
        <f t="shared" si="0"/>
        <v>2</v>
      </c>
      <c r="AE3" s="17">
        <f t="shared" si="0"/>
        <v>2</v>
      </c>
      <c r="AF3" s="17">
        <f t="shared" si="0"/>
        <v>2</v>
      </c>
      <c r="AG3" s="17">
        <f t="shared" si="0"/>
        <v>2</v>
      </c>
      <c r="AH3" s="17">
        <f t="shared" si="0"/>
        <v>2</v>
      </c>
      <c r="AI3" s="17">
        <f t="shared" si="0"/>
        <v>2</v>
      </c>
      <c r="AJ3" s="17">
        <f t="shared" si="0"/>
        <v>3</v>
      </c>
      <c r="AK3" s="17">
        <f t="shared" si="0"/>
        <v>3</v>
      </c>
      <c r="AL3" s="17">
        <f t="shared" si="0"/>
        <v>3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x14ac:dyDescent="0.25">
      <c r="A4" s="11"/>
      <c r="B4" s="11"/>
      <c r="C4" s="11"/>
      <c r="D4" s="11"/>
      <c r="E4" s="11"/>
      <c r="F4" s="11"/>
      <c r="G4" s="11"/>
      <c r="H4" s="16">
        <f>WEEKDAY(H5,2)</f>
        <v>1</v>
      </c>
      <c r="I4" s="16">
        <f t="shared" ref="I4:AL4" si="1">WEEKDAY(I5,2)</f>
        <v>2</v>
      </c>
      <c r="J4" s="16">
        <f t="shared" si="1"/>
        <v>3</v>
      </c>
      <c r="K4" s="16">
        <f t="shared" si="1"/>
        <v>4</v>
      </c>
      <c r="L4" s="16">
        <f t="shared" si="1"/>
        <v>5</v>
      </c>
      <c r="M4" s="16">
        <f t="shared" si="1"/>
        <v>6</v>
      </c>
      <c r="N4" s="16">
        <f t="shared" si="1"/>
        <v>7</v>
      </c>
      <c r="O4" s="16">
        <f t="shared" si="1"/>
        <v>1</v>
      </c>
      <c r="P4" s="16">
        <f t="shared" si="1"/>
        <v>2</v>
      </c>
      <c r="Q4" s="16">
        <f t="shared" si="1"/>
        <v>3</v>
      </c>
      <c r="R4" s="16">
        <f t="shared" si="1"/>
        <v>4</v>
      </c>
      <c r="S4" s="16">
        <f t="shared" si="1"/>
        <v>5</v>
      </c>
      <c r="T4" s="16">
        <f t="shared" si="1"/>
        <v>6</v>
      </c>
      <c r="U4" s="16">
        <f t="shared" si="1"/>
        <v>7</v>
      </c>
      <c r="V4" s="16">
        <f t="shared" si="1"/>
        <v>1</v>
      </c>
      <c r="W4" s="16">
        <f t="shared" si="1"/>
        <v>2</v>
      </c>
      <c r="X4" s="16">
        <f t="shared" si="1"/>
        <v>3</v>
      </c>
      <c r="Y4" s="16">
        <f t="shared" si="1"/>
        <v>4</v>
      </c>
      <c r="Z4" s="16">
        <f t="shared" si="1"/>
        <v>5</v>
      </c>
      <c r="AA4" s="16">
        <f t="shared" si="1"/>
        <v>6</v>
      </c>
      <c r="AB4" s="16">
        <f t="shared" si="1"/>
        <v>7</v>
      </c>
      <c r="AC4" s="16">
        <f t="shared" si="1"/>
        <v>1</v>
      </c>
      <c r="AD4" s="16">
        <f t="shared" si="1"/>
        <v>2</v>
      </c>
      <c r="AE4" s="16">
        <f t="shared" si="1"/>
        <v>3</v>
      </c>
      <c r="AF4" s="16">
        <f t="shared" si="1"/>
        <v>4</v>
      </c>
      <c r="AG4" s="16">
        <f t="shared" si="1"/>
        <v>5</v>
      </c>
      <c r="AH4" s="16">
        <f t="shared" si="1"/>
        <v>6</v>
      </c>
      <c r="AI4" s="16">
        <f t="shared" si="1"/>
        <v>7</v>
      </c>
      <c r="AJ4" s="16">
        <f t="shared" si="1"/>
        <v>1</v>
      </c>
      <c r="AK4" s="16">
        <f t="shared" si="1"/>
        <v>2</v>
      </c>
      <c r="AL4" s="16">
        <f t="shared" si="1"/>
        <v>3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ht="15" customHeight="1" x14ac:dyDescent="0.25">
      <c r="A5" s="11"/>
      <c r="B5" s="11"/>
      <c r="C5" s="11"/>
      <c r="D5" s="31" t="s">
        <v>72</v>
      </c>
      <c r="E5" s="31"/>
      <c r="F5" s="31" t="s">
        <v>3</v>
      </c>
      <c r="G5" s="31"/>
      <c r="H5" s="30">
        <f>F2</f>
        <v>44228</v>
      </c>
      <c r="I5" s="30">
        <f>H5+1</f>
        <v>44229</v>
      </c>
      <c r="J5" s="30">
        <f t="shared" ref="J5:AL5" si="2">I5+1</f>
        <v>44230</v>
      </c>
      <c r="K5" s="30">
        <f t="shared" si="2"/>
        <v>44231</v>
      </c>
      <c r="L5" s="30">
        <f t="shared" si="2"/>
        <v>44232</v>
      </c>
      <c r="M5" s="30">
        <f t="shared" si="2"/>
        <v>44233</v>
      </c>
      <c r="N5" s="30">
        <f t="shared" si="2"/>
        <v>44234</v>
      </c>
      <c r="O5" s="30">
        <f t="shared" si="2"/>
        <v>44235</v>
      </c>
      <c r="P5" s="30">
        <f t="shared" si="2"/>
        <v>44236</v>
      </c>
      <c r="Q5" s="30">
        <f t="shared" si="2"/>
        <v>44237</v>
      </c>
      <c r="R5" s="30">
        <f t="shared" si="2"/>
        <v>44238</v>
      </c>
      <c r="S5" s="30">
        <f t="shared" si="2"/>
        <v>44239</v>
      </c>
      <c r="T5" s="30">
        <f t="shared" si="2"/>
        <v>44240</v>
      </c>
      <c r="U5" s="30">
        <f t="shared" si="2"/>
        <v>44241</v>
      </c>
      <c r="V5" s="30">
        <f t="shared" si="2"/>
        <v>44242</v>
      </c>
      <c r="W5" s="30">
        <f t="shared" si="2"/>
        <v>44243</v>
      </c>
      <c r="X5" s="30">
        <f t="shared" si="2"/>
        <v>44244</v>
      </c>
      <c r="Y5" s="30">
        <f t="shared" si="2"/>
        <v>44245</v>
      </c>
      <c r="Z5" s="30">
        <f t="shared" si="2"/>
        <v>44246</v>
      </c>
      <c r="AA5" s="30">
        <f t="shared" si="2"/>
        <v>44247</v>
      </c>
      <c r="AB5" s="30">
        <f t="shared" si="2"/>
        <v>44248</v>
      </c>
      <c r="AC5" s="30">
        <f t="shared" si="2"/>
        <v>44249</v>
      </c>
      <c r="AD5" s="30">
        <f t="shared" si="2"/>
        <v>44250</v>
      </c>
      <c r="AE5" s="30">
        <f t="shared" si="2"/>
        <v>44251</v>
      </c>
      <c r="AF5" s="30">
        <f t="shared" si="2"/>
        <v>44252</v>
      </c>
      <c r="AG5" s="30">
        <f t="shared" si="2"/>
        <v>44253</v>
      </c>
      <c r="AH5" s="30">
        <f t="shared" si="2"/>
        <v>44254</v>
      </c>
      <c r="AI5" s="30">
        <f t="shared" si="2"/>
        <v>44255</v>
      </c>
      <c r="AJ5" s="30">
        <f t="shared" si="2"/>
        <v>44256</v>
      </c>
      <c r="AK5" s="30">
        <f t="shared" si="2"/>
        <v>44257</v>
      </c>
      <c r="AL5" s="30">
        <f t="shared" si="2"/>
        <v>44258</v>
      </c>
      <c r="AM5" s="28" t="s">
        <v>73</v>
      </c>
      <c r="AN5" s="28" t="s">
        <v>74</v>
      </c>
      <c r="AO5" s="28" t="s">
        <v>78</v>
      </c>
      <c r="AP5" s="28" t="s">
        <v>75</v>
      </c>
      <c r="AQ5" s="28" t="s">
        <v>76</v>
      </c>
      <c r="AR5" s="28" t="s">
        <v>77</v>
      </c>
      <c r="AS5" s="28" t="s">
        <v>79</v>
      </c>
      <c r="AT5" s="11"/>
      <c r="AU5" s="11"/>
      <c r="AV5" s="11"/>
      <c r="AW5" s="11"/>
    </row>
    <row r="6" spans="1:49" x14ac:dyDescent="0.25">
      <c r="A6" s="11"/>
      <c r="B6" s="11"/>
      <c r="C6" s="11"/>
      <c r="D6" s="31"/>
      <c r="E6" s="31"/>
      <c r="F6" s="31"/>
      <c r="G6" s="3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29"/>
      <c r="AN6" s="29"/>
      <c r="AO6" s="28"/>
      <c r="AP6" s="29"/>
      <c r="AQ6" s="29"/>
      <c r="AR6" s="29"/>
      <c r="AS6" s="29"/>
      <c r="AT6" s="11"/>
      <c r="AU6" s="11"/>
      <c r="AV6" s="11"/>
      <c r="AW6" s="11"/>
    </row>
    <row r="7" spans="1:49" x14ac:dyDescent="0.25">
      <c r="A7" s="11"/>
      <c r="B7" s="11"/>
      <c r="C7" s="11"/>
      <c r="D7" s="31"/>
      <c r="E7" s="31"/>
      <c r="F7" s="31"/>
      <c r="G7" s="31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29"/>
      <c r="AN7" s="29"/>
      <c r="AO7" s="28"/>
      <c r="AP7" s="29"/>
      <c r="AQ7" s="29"/>
      <c r="AR7" s="29"/>
      <c r="AS7" s="29"/>
      <c r="AT7" s="11"/>
      <c r="AU7" s="11"/>
      <c r="AV7" s="11"/>
      <c r="AW7" s="11"/>
    </row>
    <row r="8" spans="1:49" x14ac:dyDescent="0.25">
      <c r="A8" s="11"/>
      <c r="B8" s="11"/>
      <c r="C8" s="11"/>
      <c r="D8" s="31"/>
      <c r="E8" s="31"/>
      <c r="F8" s="31"/>
      <c r="G8" s="31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29"/>
      <c r="AN8" s="29"/>
      <c r="AO8" s="28"/>
      <c r="AP8" s="29"/>
      <c r="AQ8" s="29"/>
      <c r="AR8" s="29"/>
      <c r="AS8" s="29"/>
      <c r="AT8" s="11"/>
      <c r="AU8" s="11"/>
      <c r="AV8" s="11"/>
      <c r="AW8" s="11"/>
    </row>
    <row r="9" spans="1:49" x14ac:dyDescent="0.25">
      <c r="A9" s="11"/>
      <c r="B9" s="11"/>
      <c r="C9" s="11"/>
      <c r="D9" s="24" t="str">
        <f>CONCATENATE('Personel Listesi'!C2," ",'Personel Listesi'!D2)</f>
        <v>Ahmet  Yavuz</v>
      </c>
      <c r="E9" s="26"/>
      <c r="F9" s="24" t="s">
        <v>11</v>
      </c>
      <c r="G9" s="25"/>
      <c r="H9" t="s">
        <v>85</v>
      </c>
      <c r="I9" s="12" t="s">
        <v>85</v>
      </c>
      <c r="J9" s="12" t="s">
        <v>85</v>
      </c>
      <c r="K9" s="12" t="s">
        <v>84</v>
      </c>
      <c r="L9" s="12" t="s">
        <v>84</v>
      </c>
      <c r="M9" s="12" t="s">
        <v>84</v>
      </c>
      <c r="N9" s="12"/>
      <c r="O9" s="12" t="s">
        <v>84</v>
      </c>
      <c r="P9" s="12" t="s">
        <v>84</v>
      </c>
      <c r="Q9" s="12" t="s">
        <v>84</v>
      </c>
      <c r="R9" s="12" t="s">
        <v>84</v>
      </c>
      <c r="S9" s="12" t="s">
        <v>84</v>
      </c>
      <c r="T9" s="12" t="s">
        <v>91</v>
      </c>
      <c r="U9" s="12"/>
      <c r="V9" s="12" t="s">
        <v>88</v>
      </c>
      <c r="W9" s="12" t="s">
        <v>88</v>
      </c>
      <c r="X9" s="12" t="s">
        <v>89</v>
      </c>
      <c r="Y9" s="12" t="s">
        <v>88</v>
      </c>
      <c r="Z9" s="12" t="s">
        <v>85</v>
      </c>
      <c r="AA9" s="12" t="s">
        <v>85</v>
      </c>
      <c r="AB9" s="12"/>
      <c r="AC9" s="12" t="s">
        <v>84</v>
      </c>
      <c r="AD9" s="12" t="s">
        <v>84</v>
      </c>
      <c r="AE9" s="12" t="s">
        <v>84</v>
      </c>
      <c r="AF9" s="12" t="s">
        <v>84</v>
      </c>
      <c r="AG9" s="12" t="s">
        <v>84</v>
      </c>
      <c r="AH9" s="12" t="s">
        <v>84</v>
      </c>
      <c r="AI9" s="12"/>
      <c r="AJ9" s="12"/>
      <c r="AK9" s="12"/>
      <c r="AL9" s="12"/>
      <c r="AM9" s="12">
        <f>COUNTIFS($H$3:$AL$3,MONTH($F$2),$H$4:$AL$4,"=7")</f>
        <v>4</v>
      </c>
      <c r="AN9" s="12">
        <f>COUNTIF(H9:AL9,$H$1)</f>
        <v>14</v>
      </c>
      <c r="AO9" s="12">
        <f>COUNTIF(H9:AL9,$H$2)</f>
        <v>5</v>
      </c>
      <c r="AP9" s="12">
        <f>COUNTIF(H9:AL9,$N$1)</f>
        <v>3</v>
      </c>
      <c r="AQ9" s="12">
        <f>COUNTIF(H9:AL9,$N$2)</f>
        <v>1</v>
      </c>
      <c r="AR9" s="12">
        <f>COUNTIF(H9:AL9,$T$1)</f>
        <v>1</v>
      </c>
      <c r="AS9" s="23">
        <f>VLOOKUP(D9,'Personel Listesi'!B2:J22,9,0)*((SUM(AM9,AN9,AO9,AQ9)-SUM(AP9,AR9)))</f>
        <v>2400</v>
      </c>
      <c r="AT9" s="11"/>
      <c r="AU9" s="11"/>
      <c r="AV9" s="11"/>
      <c r="AW9" s="11"/>
    </row>
    <row r="10" spans="1:49" x14ac:dyDescent="0.25">
      <c r="A10" s="11"/>
      <c r="B10" s="11"/>
      <c r="C10" s="11"/>
      <c r="D10" s="24" t="str">
        <f>CONCATENATE('Personel Listesi'!C3," ",'Personel Listesi'!D3)</f>
        <v>Aslı Kara</v>
      </c>
      <c r="E10" s="26"/>
      <c r="F10" s="24" t="s">
        <v>16</v>
      </c>
      <c r="G10" s="25"/>
      <c r="H10" t="s">
        <v>85</v>
      </c>
      <c r="I10" s="12" t="s">
        <v>84</v>
      </c>
      <c r="J10" s="12" t="s">
        <v>84</v>
      </c>
      <c r="K10" s="12" t="s">
        <v>84</v>
      </c>
      <c r="L10" s="12" t="s">
        <v>84</v>
      </c>
      <c r="M10" s="12" t="s">
        <v>84</v>
      </c>
      <c r="N10" s="12"/>
      <c r="O10" s="12" t="s">
        <v>85</v>
      </c>
      <c r="P10" s="12" t="s">
        <v>84</v>
      </c>
      <c r="Q10" s="12" t="s">
        <v>84</v>
      </c>
      <c r="R10" s="12" t="s">
        <v>84</v>
      </c>
      <c r="S10" s="12" t="s">
        <v>84</v>
      </c>
      <c r="T10" s="12" t="s">
        <v>91</v>
      </c>
      <c r="U10" s="12"/>
      <c r="V10" s="12" t="s">
        <v>88</v>
      </c>
      <c r="W10" s="12" t="s">
        <v>85</v>
      </c>
      <c r="X10" s="12" t="s">
        <v>89</v>
      </c>
      <c r="Y10" s="12" t="s">
        <v>85</v>
      </c>
      <c r="Z10" s="12" t="s">
        <v>85</v>
      </c>
      <c r="AA10" s="12" t="s">
        <v>85</v>
      </c>
      <c r="AB10" s="12"/>
      <c r="AC10" s="12" t="s">
        <v>84</v>
      </c>
      <c r="AD10" s="12" t="s">
        <v>84</v>
      </c>
      <c r="AE10" s="12" t="s">
        <v>85</v>
      </c>
      <c r="AF10" s="12" t="s">
        <v>84</v>
      </c>
      <c r="AG10" s="12" t="s">
        <v>84</v>
      </c>
      <c r="AH10" s="12" t="s">
        <v>84</v>
      </c>
      <c r="AI10" s="12"/>
      <c r="AJ10" s="12"/>
      <c r="AK10" s="12"/>
      <c r="AL10" s="12"/>
      <c r="AM10" s="12">
        <f t="shared" ref="AM10:AM29" si="3">COUNTIFS($H$3:$AL$3,MONTH($F$2),$H$4:$AL$4,"=7")</f>
        <v>4</v>
      </c>
      <c r="AN10" s="12">
        <f t="shared" ref="AN10:AN29" si="4">COUNTIF(H10:AL10,$H$1)</f>
        <v>14</v>
      </c>
      <c r="AO10" s="12">
        <f t="shared" ref="AO10:AO29" si="5">COUNTIF(H10:AL10,$H$2)</f>
        <v>7</v>
      </c>
      <c r="AP10" s="12">
        <f t="shared" ref="AP10:AP29" si="6">COUNTIF(H10:AL10,$N$1)</f>
        <v>1</v>
      </c>
      <c r="AQ10" s="12">
        <f t="shared" ref="AQ10:AQ29" si="7">COUNTIF(H10:AL10,$N$2)</f>
        <v>1</v>
      </c>
      <c r="AR10" s="12">
        <f t="shared" ref="AR10:AR29" si="8">COUNTIF(H10:AL10,$T$1)</f>
        <v>1</v>
      </c>
      <c r="AS10" s="23">
        <f>VLOOKUP(D10,'Personel Listesi'!B3:J23,9,0)*((SUM(AM10,AN10,AO10,AQ10)-SUM(AP10,AR10)))</f>
        <v>2760</v>
      </c>
      <c r="AT10" s="11"/>
      <c r="AU10" s="11"/>
      <c r="AV10" s="11"/>
      <c r="AW10" s="11"/>
    </row>
    <row r="11" spans="1:49" x14ac:dyDescent="0.25">
      <c r="A11" s="11"/>
      <c r="B11" s="11"/>
      <c r="C11" s="11"/>
      <c r="D11" s="24" t="str">
        <f>CONCATENATE('Personel Listesi'!C4," ",'Personel Listesi'!D4)</f>
        <v>Akif Karaca</v>
      </c>
      <c r="E11" s="26"/>
      <c r="F11" s="24" t="s">
        <v>21</v>
      </c>
      <c r="G11" s="25"/>
      <c r="H11" t="s">
        <v>85</v>
      </c>
      <c r="I11" s="12" t="s">
        <v>84</v>
      </c>
      <c r="J11" s="12" t="s">
        <v>84</v>
      </c>
      <c r="K11" s="12" t="s">
        <v>84</v>
      </c>
      <c r="L11" s="12" t="s">
        <v>84</v>
      </c>
      <c r="M11" s="12" t="s">
        <v>84</v>
      </c>
      <c r="N11" s="12"/>
      <c r="O11" s="12" t="s">
        <v>85</v>
      </c>
      <c r="P11" s="12" t="s">
        <v>84</v>
      </c>
      <c r="Q11" s="12" t="s">
        <v>84</v>
      </c>
      <c r="R11" s="12" t="s">
        <v>84</v>
      </c>
      <c r="S11" s="12" t="s">
        <v>84</v>
      </c>
      <c r="T11" s="12" t="s">
        <v>91</v>
      </c>
      <c r="U11" s="12"/>
      <c r="V11" s="12" t="s">
        <v>88</v>
      </c>
      <c r="W11" s="12" t="s">
        <v>85</v>
      </c>
      <c r="X11" s="12" t="s">
        <v>89</v>
      </c>
      <c r="Y11" s="12" t="s">
        <v>85</v>
      </c>
      <c r="Z11" s="12" t="s">
        <v>85</v>
      </c>
      <c r="AA11" s="12" t="s">
        <v>85</v>
      </c>
      <c r="AB11" s="12"/>
      <c r="AC11" s="12" t="s">
        <v>84</v>
      </c>
      <c r="AD11" s="12" t="s">
        <v>84</v>
      </c>
      <c r="AE11" s="12" t="s">
        <v>85</v>
      </c>
      <c r="AF11" s="12" t="s">
        <v>84</v>
      </c>
      <c r="AG11" s="12" t="s">
        <v>84</v>
      </c>
      <c r="AH11" s="12" t="s">
        <v>84</v>
      </c>
      <c r="AI11" s="12"/>
      <c r="AJ11" s="12"/>
      <c r="AK11" s="12"/>
      <c r="AL11" s="12"/>
      <c r="AM11" s="12">
        <f t="shared" si="3"/>
        <v>4</v>
      </c>
      <c r="AN11" s="12">
        <f t="shared" si="4"/>
        <v>14</v>
      </c>
      <c r="AO11" s="12">
        <f t="shared" si="5"/>
        <v>7</v>
      </c>
      <c r="AP11" s="12">
        <f t="shared" si="6"/>
        <v>1</v>
      </c>
      <c r="AQ11" s="12">
        <f t="shared" si="7"/>
        <v>1</v>
      </c>
      <c r="AR11" s="12">
        <f t="shared" si="8"/>
        <v>1</v>
      </c>
      <c r="AS11" s="23">
        <f>VLOOKUP(D11,'Personel Listesi'!B4:J24,9,0)*((SUM(AM11,AN11,AO11,AQ11)-SUM(AP11,AR11)))</f>
        <v>4320</v>
      </c>
      <c r="AT11" s="11"/>
      <c r="AU11" s="11"/>
      <c r="AV11" s="11"/>
      <c r="AW11" s="11"/>
    </row>
    <row r="12" spans="1:49" x14ac:dyDescent="0.25">
      <c r="A12" s="11"/>
      <c r="B12" s="11"/>
      <c r="C12" s="11"/>
      <c r="D12" s="24" t="str">
        <f>CONCATENATE('Personel Listesi'!C5," ",'Personel Listesi'!D5)</f>
        <v>Ayça Karakuzu</v>
      </c>
      <c r="E12" s="26"/>
      <c r="F12" s="24" t="s">
        <v>11</v>
      </c>
      <c r="G12" s="25"/>
      <c r="H12" t="s">
        <v>85</v>
      </c>
      <c r="I12" s="12" t="s">
        <v>84</v>
      </c>
      <c r="J12" s="12" t="s">
        <v>84</v>
      </c>
      <c r="K12" s="12" t="s">
        <v>84</v>
      </c>
      <c r="L12" s="12" t="s">
        <v>84</v>
      </c>
      <c r="M12" s="12" t="s">
        <v>84</v>
      </c>
      <c r="N12" s="12"/>
      <c r="O12" s="12" t="s">
        <v>85</v>
      </c>
      <c r="P12" s="12" t="s">
        <v>84</v>
      </c>
      <c r="Q12" s="12" t="s">
        <v>84</v>
      </c>
      <c r="R12" s="12" t="s">
        <v>84</v>
      </c>
      <c r="S12" s="12" t="s">
        <v>84</v>
      </c>
      <c r="T12" s="12" t="s">
        <v>91</v>
      </c>
      <c r="U12" s="12"/>
      <c r="V12" s="12" t="s">
        <v>88</v>
      </c>
      <c r="W12" s="12" t="s">
        <v>85</v>
      </c>
      <c r="X12" s="12" t="s">
        <v>89</v>
      </c>
      <c r="Y12" s="12" t="s">
        <v>85</v>
      </c>
      <c r="Z12" s="12" t="s">
        <v>85</v>
      </c>
      <c r="AA12" s="12" t="s">
        <v>85</v>
      </c>
      <c r="AB12" s="12"/>
      <c r="AC12" s="12" t="s">
        <v>84</v>
      </c>
      <c r="AD12" s="12" t="s">
        <v>84</v>
      </c>
      <c r="AE12" s="12" t="s">
        <v>85</v>
      </c>
      <c r="AF12" s="12" t="s">
        <v>84</v>
      </c>
      <c r="AG12" s="12" t="s">
        <v>84</v>
      </c>
      <c r="AH12" s="12" t="s">
        <v>84</v>
      </c>
      <c r="AI12" s="12"/>
      <c r="AJ12" s="12"/>
      <c r="AK12" s="12"/>
      <c r="AL12" s="12"/>
      <c r="AM12" s="12">
        <f t="shared" si="3"/>
        <v>4</v>
      </c>
      <c r="AN12" s="12">
        <f t="shared" si="4"/>
        <v>14</v>
      </c>
      <c r="AO12" s="12">
        <f t="shared" si="5"/>
        <v>7</v>
      </c>
      <c r="AP12" s="12">
        <f t="shared" si="6"/>
        <v>1</v>
      </c>
      <c r="AQ12" s="12">
        <f t="shared" si="7"/>
        <v>1</v>
      </c>
      <c r="AR12" s="12">
        <f t="shared" si="8"/>
        <v>1</v>
      </c>
      <c r="AS12" s="23">
        <f>VLOOKUP(D12,'Personel Listesi'!B5:J25,9,0)*((SUM(AM12,AN12,AO12,AQ12)-SUM(AP12,AR12)))</f>
        <v>3120</v>
      </c>
      <c r="AT12" s="11"/>
      <c r="AU12" s="11"/>
      <c r="AV12" s="11"/>
      <c r="AW12" s="11"/>
    </row>
    <row r="13" spans="1:49" x14ac:dyDescent="0.25">
      <c r="A13" s="11"/>
      <c r="B13" s="11"/>
      <c r="C13" s="11"/>
      <c r="D13" s="24" t="str">
        <f>CONCATENATE('Personel Listesi'!C6," ",'Personel Listesi'!D6)</f>
        <v>Zeynep Yılmaz</v>
      </c>
      <c r="E13" s="26"/>
      <c r="F13" s="24" t="s">
        <v>11</v>
      </c>
      <c r="G13" s="25"/>
      <c r="H13" t="s">
        <v>85</v>
      </c>
      <c r="I13" s="12" t="s">
        <v>84</v>
      </c>
      <c r="J13" s="12" t="s">
        <v>84</v>
      </c>
      <c r="K13" s="12" t="s">
        <v>84</v>
      </c>
      <c r="L13" s="12" t="s">
        <v>84</v>
      </c>
      <c r="M13" s="12" t="s">
        <v>84</v>
      </c>
      <c r="N13" s="12"/>
      <c r="O13" s="12" t="s">
        <v>85</v>
      </c>
      <c r="P13" s="12" t="s">
        <v>84</v>
      </c>
      <c r="Q13" s="12" t="s">
        <v>84</v>
      </c>
      <c r="R13" s="12" t="s">
        <v>84</v>
      </c>
      <c r="S13" s="12" t="s">
        <v>84</v>
      </c>
      <c r="T13" s="12" t="s">
        <v>91</v>
      </c>
      <c r="U13" s="12"/>
      <c r="V13" s="12" t="s">
        <v>88</v>
      </c>
      <c r="W13" s="12" t="s">
        <v>85</v>
      </c>
      <c r="X13" s="12" t="s">
        <v>89</v>
      </c>
      <c r="Y13" s="12" t="s">
        <v>85</v>
      </c>
      <c r="Z13" s="12" t="s">
        <v>85</v>
      </c>
      <c r="AA13" s="12" t="s">
        <v>85</v>
      </c>
      <c r="AB13" s="12"/>
      <c r="AC13" s="12" t="s">
        <v>84</v>
      </c>
      <c r="AD13" s="12" t="s">
        <v>84</v>
      </c>
      <c r="AE13" s="12" t="s">
        <v>85</v>
      </c>
      <c r="AF13" s="12" t="s">
        <v>84</v>
      </c>
      <c r="AG13" s="12" t="s">
        <v>84</v>
      </c>
      <c r="AH13" s="12" t="s">
        <v>84</v>
      </c>
      <c r="AI13" s="12"/>
      <c r="AJ13" s="12"/>
      <c r="AK13" s="12"/>
      <c r="AL13" s="12"/>
      <c r="AM13" s="12">
        <f t="shared" si="3"/>
        <v>4</v>
      </c>
      <c r="AN13" s="12">
        <f t="shared" si="4"/>
        <v>14</v>
      </c>
      <c r="AO13" s="12">
        <f t="shared" si="5"/>
        <v>7</v>
      </c>
      <c r="AP13" s="12">
        <f t="shared" si="6"/>
        <v>1</v>
      </c>
      <c r="AQ13" s="12">
        <f t="shared" si="7"/>
        <v>1</v>
      </c>
      <c r="AR13" s="12">
        <f t="shared" si="8"/>
        <v>1</v>
      </c>
      <c r="AS13" s="23">
        <f>VLOOKUP(D13,'Personel Listesi'!B6:J26,9,0)*((SUM(AM13,AN13,AO13,AQ13)-SUM(AP13,AR13)))</f>
        <v>3480</v>
      </c>
      <c r="AT13" s="11"/>
      <c r="AU13" s="11"/>
      <c r="AV13" s="11"/>
      <c r="AW13" s="11"/>
    </row>
    <row r="14" spans="1:49" x14ac:dyDescent="0.25">
      <c r="A14" s="11"/>
      <c r="B14" s="11"/>
      <c r="C14" s="11"/>
      <c r="D14" s="24" t="str">
        <f>CONCATENATE('Personel Listesi'!C7," ",'Personel Listesi'!D7)</f>
        <v>Gaye Tansel</v>
      </c>
      <c r="E14" s="26"/>
      <c r="F14" s="24" t="s">
        <v>21</v>
      </c>
      <c r="G14" s="25"/>
      <c r="H14" t="s">
        <v>85</v>
      </c>
      <c r="I14" s="12" t="s">
        <v>84</v>
      </c>
      <c r="J14" s="12" t="s">
        <v>84</v>
      </c>
      <c r="K14" s="12" t="s">
        <v>84</v>
      </c>
      <c r="L14" s="12" t="s">
        <v>84</v>
      </c>
      <c r="M14" s="12" t="s">
        <v>84</v>
      </c>
      <c r="N14" s="12"/>
      <c r="O14" s="12" t="s">
        <v>85</v>
      </c>
      <c r="P14" s="12" t="s">
        <v>84</v>
      </c>
      <c r="Q14" s="12" t="s">
        <v>84</v>
      </c>
      <c r="R14" s="12" t="s">
        <v>84</v>
      </c>
      <c r="S14" s="12" t="s">
        <v>84</v>
      </c>
      <c r="T14" s="12" t="s">
        <v>91</v>
      </c>
      <c r="U14" s="12"/>
      <c r="V14" s="12" t="s">
        <v>88</v>
      </c>
      <c r="W14" s="12" t="s">
        <v>85</v>
      </c>
      <c r="X14" s="12" t="s">
        <v>89</v>
      </c>
      <c r="Y14" s="12" t="s">
        <v>84</v>
      </c>
      <c r="Z14" s="12" t="s">
        <v>85</v>
      </c>
      <c r="AA14" s="12" t="s">
        <v>85</v>
      </c>
      <c r="AB14" s="12"/>
      <c r="AC14" s="12" t="s">
        <v>84</v>
      </c>
      <c r="AD14" s="12" t="s">
        <v>84</v>
      </c>
      <c r="AE14" s="12" t="s">
        <v>85</v>
      </c>
      <c r="AF14" s="12" t="s">
        <v>84</v>
      </c>
      <c r="AG14" s="12" t="s">
        <v>84</v>
      </c>
      <c r="AH14" s="12" t="s">
        <v>84</v>
      </c>
      <c r="AI14" s="12"/>
      <c r="AJ14" s="12"/>
      <c r="AK14" s="12"/>
      <c r="AL14" s="12"/>
      <c r="AM14" s="12">
        <f t="shared" si="3"/>
        <v>4</v>
      </c>
      <c r="AN14" s="12">
        <f t="shared" si="4"/>
        <v>15</v>
      </c>
      <c r="AO14" s="12">
        <f t="shared" si="5"/>
        <v>6</v>
      </c>
      <c r="AP14" s="12">
        <f t="shared" si="6"/>
        <v>1</v>
      </c>
      <c r="AQ14" s="12">
        <f t="shared" si="7"/>
        <v>1</v>
      </c>
      <c r="AR14" s="12">
        <f t="shared" si="8"/>
        <v>1</v>
      </c>
      <c r="AS14" s="23">
        <f>VLOOKUP(D14,'Personel Listesi'!B7:J27,9,0)*((SUM(AM14,AN14,AO14,AQ14)-SUM(AP14,AR14)))</f>
        <v>4272</v>
      </c>
      <c r="AT14" s="11"/>
      <c r="AU14" s="11"/>
      <c r="AV14" s="11"/>
      <c r="AW14" s="11"/>
    </row>
    <row r="15" spans="1:49" x14ac:dyDescent="0.25">
      <c r="A15" s="11"/>
      <c r="B15" s="11"/>
      <c r="C15" s="11"/>
      <c r="D15" s="24" t="str">
        <f>CONCATENATE('Personel Listesi'!C8," ",'Personel Listesi'!D8)</f>
        <v>Burak Sarkım</v>
      </c>
      <c r="E15" s="26"/>
      <c r="F15" s="24" t="s">
        <v>16</v>
      </c>
      <c r="G15" s="25"/>
      <c r="H15" t="s">
        <v>85</v>
      </c>
      <c r="I15" s="12" t="s">
        <v>84</v>
      </c>
      <c r="J15" s="12" t="s">
        <v>84</v>
      </c>
      <c r="K15" s="12" t="s">
        <v>84</v>
      </c>
      <c r="L15" s="12" t="s">
        <v>84</v>
      </c>
      <c r="M15" s="12" t="s">
        <v>84</v>
      </c>
      <c r="N15" s="12"/>
      <c r="O15" s="12" t="s">
        <v>85</v>
      </c>
      <c r="P15" s="12" t="s">
        <v>84</v>
      </c>
      <c r="Q15" s="12" t="s">
        <v>84</v>
      </c>
      <c r="R15" s="12" t="s">
        <v>84</v>
      </c>
      <c r="S15" s="12" t="s">
        <v>84</v>
      </c>
      <c r="T15" s="12" t="s">
        <v>91</v>
      </c>
      <c r="U15" s="12"/>
      <c r="V15" s="12" t="s">
        <v>88</v>
      </c>
      <c r="W15" s="12" t="s">
        <v>85</v>
      </c>
      <c r="X15" s="12" t="s">
        <v>89</v>
      </c>
      <c r="Y15" s="12" t="s">
        <v>84</v>
      </c>
      <c r="Z15" s="12" t="s">
        <v>85</v>
      </c>
      <c r="AA15" s="12" t="s">
        <v>85</v>
      </c>
      <c r="AB15" s="12"/>
      <c r="AC15" s="12" t="s">
        <v>84</v>
      </c>
      <c r="AD15" s="12" t="s">
        <v>84</v>
      </c>
      <c r="AE15" s="12" t="s">
        <v>91</v>
      </c>
      <c r="AF15" s="12" t="s">
        <v>84</v>
      </c>
      <c r="AG15" s="12" t="s">
        <v>84</v>
      </c>
      <c r="AH15" s="12" t="s">
        <v>84</v>
      </c>
      <c r="AI15" s="12"/>
      <c r="AJ15" s="12"/>
      <c r="AK15" s="12"/>
      <c r="AL15" s="12"/>
      <c r="AM15" s="12">
        <f t="shared" si="3"/>
        <v>4</v>
      </c>
      <c r="AN15" s="12">
        <f t="shared" si="4"/>
        <v>15</v>
      </c>
      <c r="AO15" s="12">
        <f t="shared" si="5"/>
        <v>5</v>
      </c>
      <c r="AP15" s="12">
        <f t="shared" si="6"/>
        <v>1</v>
      </c>
      <c r="AQ15" s="12">
        <f t="shared" si="7"/>
        <v>1</v>
      </c>
      <c r="AR15" s="12">
        <f t="shared" si="8"/>
        <v>2</v>
      </c>
      <c r="AS15" s="23">
        <f>VLOOKUP(D15,'Personel Listesi'!B8:J28,9,0)*((SUM(AM15,AN15,AO15,AQ15)-SUM(AP15,AR15)))</f>
        <v>3080</v>
      </c>
      <c r="AT15" s="11"/>
      <c r="AU15" s="11"/>
      <c r="AV15" s="11"/>
      <c r="AW15" s="11"/>
    </row>
    <row r="16" spans="1:49" x14ac:dyDescent="0.25">
      <c r="A16" s="11"/>
      <c r="B16" s="11"/>
      <c r="C16" s="11"/>
      <c r="D16" s="24" t="str">
        <f>CONCATENATE('Personel Listesi'!C9," ",'Personel Listesi'!D9)</f>
        <v>Burcu  Yılmaz</v>
      </c>
      <c r="E16" s="26"/>
      <c r="F16" s="24" t="s">
        <v>11</v>
      </c>
      <c r="G16" s="25"/>
      <c r="H16" t="s">
        <v>85</v>
      </c>
      <c r="I16" s="12" t="s">
        <v>84</v>
      </c>
      <c r="J16" s="12" t="s">
        <v>84</v>
      </c>
      <c r="K16" s="12" t="s">
        <v>84</v>
      </c>
      <c r="L16" s="12" t="s">
        <v>84</v>
      </c>
      <c r="M16" s="12" t="s">
        <v>84</v>
      </c>
      <c r="N16" s="12"/>
      <c r="O16" s="12" t="s">
        <v>85</v>
      </c>
      <c r="P16" s="12" t="s">
        <v>84</v>
      </c>
      <c r="Q16" s="12" t="s">
        <v>84</v>
      </c>
      <c r="R16" s="12" t="s">
        <v>84</v>
      </c>
      <c r="S16" s="12" t="s">
        <v>84</v>
      </c>
      <c r="T16" s="12" t="s">
        <v>91</v>
      </c>
      <c r="U16" s="12"/>
      <c r="V16" s="12" t="s">
        <v>88</v>
      </c>
      <c r="W16" s="12" t="s">
        <v>84</v>
      </c>
      <c r="X16" s="12" t="s">
        <v>89</v>
      </c>
      <c r="Y16" s="12" t="s">
        <v>84</v>
      </c>
      <c r="Z16" s="12" t="s">
        <v>85</v>
      </c>
      <c r="AA16" s="12" t="s">
        <v>85</v>
      </c>
      <c r="AB16" s="12"/>
      <c r="AC16" s="12" t="s">
        <v>84</v>
      </c>
      <c r="AD16" s="12" t="s">
        <v>84</v>
      </c>
      <c r="AE16" s="12" t="s">
        <v>91</v>
      </c>
      <c r="AF16" s="12" t="s">
        <v>84</v>
      </c>
      <c r="AG16" s="12" t="s">
        <v>84</v>
      </c>
      <c r="AH16" s="12" t="s">
        <v>84</v>
      </c>
      <c r="AI16" s="12"/>
      <c r="AJ16" s="12"/>
      <c r="AK16" s="12"/>
      <c r="AL16" s="12"/>
      <c r="AM16" s="12">
        <f t="shared" si="3"/>
        <v>4</v>
      </c>
      <c r="AN16" s="12">
        <f t="shared" si="4"/>
        <v>16</v>
      </c>
      <c r="AO16" s="12">
        <f t="shared" si="5"/>
        <v>4</v>
      </c>
      <c r="AP16" s="12">
        <f t="shared" si="6"/>
        <v>1</v>
      </c>
      <c r="AQ16" s="12">
        <f t="shared" si="7"/>
        <v>1</v>
      </c>
      <c r="AR16" s="12">
        <f t="shared" si="8"/>
        <v>2</v>
      </c>
      <c r="AS16" s="23">
        <f>VLOOKUP(D16,'Personel Listesi'!B9:J29,9,0)*((SUM(AM16,AN16,AO16,AQ16)-SUM(AP16,AR16)))</f>
        <v>2640</v>
      </c>
      <c r="AT16" s="11"/>
      <c r="AU16" s="11"/>
      <c r="AV16" s="11"/>
      <c r="AW16" s="11"/>
    </row>
    <row r="17" spans="1:49" x14ac:dyDescent="0.25">
      <c r="A17" s="11"/>
      <c r="B17" s="11"/>
      <c r="C17" s="11"/>
      <c r="D17" s="24" t="str">
        <f>CONCATENATE('Personel Listesi'!C10," ",'Personel Listesi'!D10)</f>
        <v>Kasım Deniz</v>
      </c>
      <c r="E17" s="26"/>
      <c r="F17" s="24" t="s">
        <v>11</v>
      </c>
      <c r="G17" s="25"/>
      <c r="H17" t="s">
        <v>85</v>
      </c>
      <c r="I17" s="12" t="s">
        <v>84</v>
      </c>
      <c r="J17" s="12" t="s">
        <v>84</v>
      </c>
      <c r="K17" s="12" t="s">
        <v>84</v>
      </c>
      <c r="L17" s="12" t="s">
        <v>84</v>
      </c>
      <c r="M17" s="12" t="s">
        <v>84</v>
      </c>
      <c r="N17" s="12"/>
      <c r="O17" s="12" t="s">
        <v>85</v>
      </c>
      <c r="P17" s="12" t="s">
        <v>84</v>
      </c>
      <c r="Q17" s="12" t="s">
        <v>84</v>
      </c>
      <c r="R17" s="12" t="s">
        <v>84</v>
      </c>
      <c r="S17" s="12" t="s">
        <v>84</v>
      </c>
      <c r="T17" s="12" t="s">
        <v>91</v>
      </c>
      <c r="U17" s="12"/>
      <c r="V17" s="12" t="s">
        <v>88</v>
      </c>
      <c r="W17" s="12" t="s">
        <v>84</v>
      </c>
      <c r="X17" s="12" t="s">
        <v>89</v>
      </c>
      <c r="Y17" s="12" t="s">
        <v>84</v>
      </c>
      <c r="Z17" s="12" t="s">
        <v>85</v>
      </c>
      <c r="AA17" s="12" t="s">
        <v>85</v>
      </c>
      <c r="AB17" s="12"/>
      <c r="AC17" s="12" t="s">
        <v>84</v>
      </c>
      <c r="AD17" s="12" t="s">
        <v>84</v>
      </c>
      <c r="AE17" s="12" t="s">
        <v>91</v>
      </c>
      <c r="AF17" s="12" t="s">
        <v>84</v>
      </c>
      <c r="AG17" s="12" t="s">
        <v>84</v>
      </c>
      <c r="AH17" s="12" t="s">
        <v>84</v>
      </c>
      <c r="AI17" s="12"/>
      <c r="AJ17" s="12"/>
      <c r="AK17" s="12"/>
      <c r="AL17" s="12"/>
      <c r="AM17" s="12">
        <f t="shared" si="3"/>
        <v>4</v>
      </c>
      <c r="AN17" s="12">
        <f t="shared" si="4"/>
        <v>16</v>
      </c>
      <c r="AO17" s="12">
        <f t="shared" si="5"/>
        <v>4</v>
      </c>
      <c r="AP17" s="12">
        <f t="shared" si="6"/>
        <v>1</v>
      </c>
      <c r="AQ17" s="12">
        <f t="shared" si="7"/>
        <v>1</v>
      </c>
      <c r="AR17" s="12">
        <f t="shared" si="8"/>
        <v>2</v>
      </c>
      <c r="AS17" s="23">
        <f>VLOOKUP(D17,'Personel Listesi'!B10:J30,9,0)*((SUM(AM17,AN17,AO17,AQ17)-SUM(AP17,AR17)))</f>
        <v>2860</v>
      </c>
      <c r="AT17" s="11"/>
      <c r="AU17" s="11"/>
      <c r="AV17" s="11"/>
      <c r="AW17" s="11"/>
    </row>
    <row r="18" spans="1:49" x14ac:dyDescent="0.25">
      <c r="A18" s="11"/>
      <c r="B18" s="11"/>
      <c r="C18" s="11"/>
      <c r="D18" s="24" t="str">
        <f>CONCATENATE('Personel Listesi'!C11," ",'Personel Listesi'!D11)</f>
        <v>Ahmet Altunkaya</v>
      </c>
      <c r="E18" s="26"/>
      <c r="F18" s="24" t="s">
        <v>40</v>
      </c>
      <c r="G18" s="25"/>
      <c r="H18" t="s">
        <v>85</v>
      </c>
      <c r="I18" s="12" t="s">
        <v>84</v>
      </c>
      <c r="J18" s="12" t="s">
        <v>84</v>
      </c>
      <c r="K18" s="12" t="s">
        <v>84</v>
      </c>
      <c r="L18" s="12" t="s">
        <v>84</v>
      </c>
      <c r="M18" s="12" t="s">
        <v>84</v>
      </c>
      <c r="N18" s="12"/>
      <c r="O18" s="12" t="s">
        <v>85</v>
      </c>
      <c r="P18" s="12" t="s">
        <v>84</v>
      </c>
      <c r="Q18" s="12" t="s">
        <v>84</v>
      </c>
      <c r="R18" s="12" t="s">
        <v>84</v>
      </c>
      <c r="S18" s="12" t="s">
        <v>84</v>
      </c>
      <c r="T18" s="12" t="s">
        <v>91</v>
      </c>
      <c r="U18" s="12"/>
      <c r="V18" s="12" t="s">
        <v>84</v>
      </c>
      <c r="W18" s="12" t="s">
        <v>84</v>
      </c>
      <c r="X18" s="12" t="s">
        <v>89</v>
      </c>
      <c r="Y18" s="12" t="s">
        <v>84</v>
      </c>
      <c r="Z18" s="12" t="s">
        <v>85</v>
      </c>
      <c r="AA18" s="12" t="s">
        <v>85</v>
      </c>
      <c r="AB18" s="12"/>
      <c r="AC18" s="12" t="s">
        <v>84</v>
      </c>
      <c r="AD18" s="12" t="s">
        <v>84</v>
      </c>
      <c r="AE18" s="12" t="s">
        <v>91</v>
      </c>
      <c r="AF18" s="12" t="s">
        <v>84</v>
      </c>
      <c r="AG18" s="12" t="s">
        <v>84</v>
      </c>
      <c r="AH18" s="12" t="s">
        <v>84</v>
      </c>
      <c r="AI18" s="12"/>
      <c r="AJ18" s="12"/>
      <c r="AK18" s="12"/>
      <c r="AL18" s="12"/>
      <c r="AM18" s="12">
        <f t="shared" si="3"/>
        <v>4</v>
      </c>
      <c r="AN18" s="12">
        <f t="shared" si="4"/>
        <v>17</v>
      </c>
      <c r="AO18" s="12">
        <f t="shared" si="5"/>
        <v>4</v>
      </c>
      <c r="AP18" s="12">
        <f t="shared" si="6"/>
        <v>0</v>
      </c>
      <c r="AQ18" s="12">
        <f t="shared" si="7"/>
        <v>1</v>
      </c>
      <c r="AR18" s="12">
        <f t="shared" si="8"/>
        <v>2</v>
      </c>
      <c r="AS18" s="23">
        <f>VLOOKUP(D18,'Personel Listesi'!B11:J31,9,0)*((SUM(AM18,AN18,AO18,AQ18)-SUM(AP18,AR18)))</f>
        <v>3000</v>
      </c>
      <c r="AT18" s="11"/>
      <c r="AU18" s="11"/>
      <c r="AV18" s="11"/>
      <c r="AW18" s="11"/>
    </row>
    <row r="19" spans="1:49" x14ac:dyDescent="0.25">
      <c r="A19" s="11"/>
      <c r="B19" s="11"/>
      <c r="C19" s="11"/>
      <c r="D19" s="24" t="str">
        <f>CONCATENATE('Personel Listesi'!C12," ",'Personel Listesi'!D12)</f>
        <v>Rıza Sönmez</v>
      </c>
      <c r="E19" s="26"/>
      <c r="F19" s="24" t="s">
        <v>21</v>
      </c>
      <c r="G19" s="25"/>
      <c r="H19" t="s">
        <v>85</v>
      </c>
      <c r="I19" s="12" t="s">
        <v>89</v>
      </c>
      <c r="J19" s="12" t="s">
        <v>84</v>
      </c>
      <c r="K19" s="12" t="s">
        <v>84</v>
      </c>
      <c r="L19" s="12" t="s">
        <v>84</v>
      </c>
      <c r="M19" s="12" t="s">
        <v>84</v>
      </c>
      <c r="N19" s="12"/>
      <c r="O19" s="12" t="s">
        <v>85</v>
      </c>
      <c r="P19" s="12" t="s">
        <v>84</v>
      </c>
      <c r="Q19" s="12" t="s">
        <v>84</v>
      </c>
      <c r="R19" s="12" t="s">
        <v>84</v>
      </c>
      <c r="S19" s="12" t="s">
        <v>84</v>
      </c>
      <c r="T19" s="12" t="s">
        <v>91</v>
      </c>
      <c r="U19" s="12"/>
      <c r="V19" s="12" t="s">
        <v>84</v>
      </c>
      <c r="W19" s="12" t="s">
        <v>84</v>
      </c>
      <c r="X19" s="12" t="s">
        <v>89</v>
      </c>
      <c r="Y19" s="12" t="s">
        <v>84</v>
      </c>
      <c r="Z19" s="12" t="s">
        <v>85</v>
      </c>
      <c r="AA19" s="12" t="s">
        <v>85</v>
      </c>
      <c r="AB19" s="12"/>
      <c r="AC19" s="12" t="s">
        <v>84</v>
      </c>
      <c r="AD19" s="12" t="s">
        <v>84</v>
      </c>
      <c r="AE19" s="12" t="s">
        <v>91</v>
      </c>
      <c r="AF19" s="12" t="s">
        <v>84</v>
      </c>
      <c r="AG19" s="12" t="s">
        <v>84</v>
      </c>
      <c r="AH19" s="12" t="s">
        <v>84</v>
      </c>
      <c r="AI19" s="12"/>
      <c r="AJ19" s="12"/>
      <c r="AK19" s="12"/>
      <c r="AL19" s="12"/>
      <c r="AM19" s="12">
        <f t="shared" si="3"/>
        <v>4</v>
      </c>
      <c r="AN19" s="12">
        <f t="shared" si="4"/>
        <v>16</v>
      </c>
      <c r="AO19" s="12">
        <f t="shared" si="5"/>
        <v>4</v>
      </c>
      <c r="AP19" s="12">
        <f t="shared" si="6"/>
        <v>0</v>
      </c>
      <c r="AQ19" s="12">
        <f t="shared" si="7"/>
        <v>2</v>
      </c>
      <c r="AR19" s="12">
        <f t="shared" si="8"/>
        <v>2</v>
      </c>
      <c r="AS19" s="23">
        <f>VLOOKUP(D19,'Personel Listesi'!B12:J32,9,0)*((SUM(AM19,AN19,AO19,AQ19)-SUM(AP19,AR19)))</f>
        <v>3120</v>
      </c>
      <c r="AT19" s="11"/>
      <c r="AU19" s="11"/>
      <c r="AV19" s="11"/>
      <c r="AW19" s="11"/>
    </row>
    <row r="20" spans="1:49" x14ac:dyDescent="0.25">
      <c r="A20" s="11"/>
      <c r="B20" s="11"/>
      <c r="C20" s="11"/>
      <c r="D20" s="24" t="str">
        <f>CONCATENATE('Personel Listesi'!C13," ",'Personel Listesi'!D13)</f>
        <v>Yaşam  Er</v>
      </c>
      <c r="E20" s="26"/>
      <c r="F20" s="24" t="s">
        <v>11</v>
      </c>
      <c r="G20" s="25"/>
      <c r="H20" t="s">
        <v>85</v>
      </c>
      <c r="I20" s="12" t="s">
        <v>89</v>
      </c>
      <c r="J20" s="12" t="s">
        <v>84</v>
      </c>
      <c r="K20" s="12" t="s">
        <v>84</v>
      </c>
      <c r="L20" s="12" t="s">
        <v>84</v>
      </c>
      <c r="M20" s="12" t="s">
        <v>84</v>
      </c>
      <c r="N20" s="12"/>
      <c r="O20" s="12" t="s">
        <v>88</v>
      </c>
      <c r="P20" s="12" t="s">
        <v>84</v>
      </c>
      <c r="Q20" s="12" t="s">
        <v>84</v>
      </c>
      <c r="R20" s="12" t="s">
        <v>84</v>
      </c>
      <c r="S20" s="12" t="s">
        <v>84</v>
      </c>
      <c r="T20" s="12" t="s">
        <v>91</v>
      </c>
      <c r="U20" s="12"/>
      <c r="V20" s="12" t="s">
        <v>84</v>
      </c>
      <c r="W20" s="12" t="s">
        <v>84</v>
      </c>
      <c r="X20" s="12" t="s">
        <v>89</v>
      </c>
      <c r="Y20" s="12" t="s">
        <v>84</v>
      </c>
      <c r="Z20" s="12" t="s">
        <v>85</v>
      </c>
      <c r="AA20" s="12" t="s">
        <v>85</v>
      </c>
      <c r="AB20" s="12"/>
      <c r="AC20" s="12" t="s">
        <v>84</v>
      </c>
      <c r="AD20" s="12" t="s">
        <v>84</v>
      </c>
      <c r="AE20" s="12" t="s">
        <v>84</v>
      </c>
      <c r="AF20" s="12" t="s">
        <v>84</v>
      </c>
      <c r="AG20" s="12" t="s">
        <v>84</v>
      </c>
      <c r="AH20" s="12" t="s">
        <v>84</v>
      </c>
      <c r="AI20" s="12"/>
      <c r="AJ20" s="12"/>
      <c r="AK20" s="12"/>
      <c r="AL20" s="12"/>
      <c r="AM20" s="12">
        <f t="shared" si="3"/>
        <v>4</v>
      </c>
      <c r="AN20" s="12">
        <f t="shared" si="4"/>
        <v>17</v>
      </c>
      <c r="AO20" s="12">
        <f t="shared" si="5"/>
        <v>3</v>
      </c>
      <c r="AP20" s="12">
        <f t="shared" si="6"/>
        <v>1</v>
      </c>
      <c r="AQ20" s="12">
        <f t="shared" si="7"/>
        <v>2</v>
      </c>
      <c r="AR20" s="12">
        <f t="shared" si="8"/>
        <v>1</v>
      </c>
      <c r="AS20" s="23">
        <f>VLOOKUP(D20,'Personel Listesi'!B13:J33,9,0)*((SUM(AM20,AN20,AO20,AQ20)-SUM(AP20,AR20)))</f>
        <v>4320</v>
      </c>
      <c r="AT20" s="11"/>
      <c r="AU20" s="11"/>
      <c r="AV20" s="11"/>
      <c r="AW20" s="11"/>
    </row>
    <row r="21" spans="1:49" x14ac:dyDescent="0.25">
      <c r="A21" s="11"/>
      <c r="B21" s="11"/>
      <c r="C21" s="11"/>
      <c r="D21" s="24" t="str">
        <f>CONCATENATE('Personel Listesi'!C14," ",'Personel Listesi'!D14)</f>
        <v>Arif Sağlam</v>
      </c>
      <c r="E21" s="26"/>
      <c r="F21" s="24" t="s">
        <v>48</v>
      </c>
      <c r="G21" s="25"/>
      <c r="H21" t="s">
        <v>85</v>
      </c>
      <c r="I21" s="12" t="s">
        <v>89</v>
      </c>
      <c r="J21" s="12" t="s">
        <v>84</v>
      </c>
      <c r="K21" s="12" t="s">
        <v>84</v>
      </c>
      <c r="L21" s="12" t="s">
        <v>84</v>
      </c>
      <c r="M21" s="12" t="s">
        <v>84</v>
      </c>
      <c r="N21" s="12"/>
      <c r="O21" s="12" t="s">
        <v>88</v>
      </c>
      <c r="P21" s="12" t="s">
        <v>84</v>
      </c>
      <c r="Q21" s="12" t="s">
        <v>84</v>
      </c>
      <c r="R21" s="12" t="s">
        <v>84</v>
      </c>
      <c r="S21" s="12" t="s">
        <v>84</v>
      </c>
      <c r="T21" s="12" t="s">
        <v>91</v>
      </c>
      <c r="U21" s="12"/>
      <c r="V21" s="12" t="s">
        <v>84</v>
      </c>
      <c r="W21" s="12" t="s">
        <v>84</v>
      </c>
      <c r="X21" s="12" t="s">
        <v>89</v>
      </c>
      <c r="Y21" s="12" t="s">
        <v>84</v>
      </c>
      <c r="Z21" s="12" t="s">
        <v>85</v>
      </c>
      <c r="AA21" s="12" t="s">
        <v>85</v>
      </c>
      <c r="AB21" s="12"/>
      <c r="AC21" s="12" t="s">
        <v>84</v>
      </c>
      <c r="AD21" s="12" t="s">
        <v>84</v>
      </c>
      <c r="AE21" s="12" t="s">
        <v>84</v>
      </c>
      <c r="AF21" s="12" t="s">
        <v>84</v>
      </c>
      <c r="AG21" s="12" t="s">
        <v>84</v>
      </c>
      <c r="AH21" s="12" t="s">
        <v>84</v>
      </c>
      <c r="AI21" s="12"/>
      <c r="AJ21" s="12"/>
      <c r="AK21" s="12"/>
      <c r="AL21" s="12"/>
      <c r="AM21" s="12">
        <f t="shared" si="3"/>
        <v>4</v>
      </c>
      <c r="AN21" s="12">
        <f t="shared" si="4"/>
        <v>17</v>
      </c>
      <c r="AO21" s="12">
        <f t="shared" si="5"/>
        <v>3</v>
      </c>
      <c r="AP21" s="12">
        <f t="shared" si="6"/>
        <v>1</v>
      </c>
      <c r="AQ21" s="12">
        <f t="shared" si="7"/>
        <v>2</v>
      </c>
      <c r="AR21" s="12">
        <f t="shared" si="8"/>
        <v>1</v>
      </c>
      <c r="AS21" s="23">
        <f>VLOOKUP(D21,'Personel Listesi'!B14:J34,9,0)*((SUM(AM21,AN21,AO21,AQ21)-SUM(AP21,AR21)))</f>
        <v>2880</v>
      </c>
      <c r="AT21" s="11"/>
      <c r="AU21" s="11"/>
      <c r="AV21" s="11"/>
      <c r="AW21" s="11"/>
    </row>
    <row r="22" spans="1:49" x14ac:dyDescent="0.25">
      <c r="A22" s="11"/>
      <c r="B22" s="11"/>
      <c r="C22" s="11"/>
      <c r="D22" s="24" t="str">
        <f>CONCATENATE('Personel Listesi'!C15," ",'Personel Listesi'!D15)</f>
        <v>İsmail  Tekin</v>
      </c>
      <c r="E22" s="26"/>
      <c r="F22" s="24" t="s">
        <v>11</v>
      </c>
      <c r="G22" s="25"/>
      <c r="H22" t="s">
        <v>85</v>
      </c>
      <c r="I22" s="12" t="s">
        <v>89</v>
      </c>
      <c r="J22" s="12" t="s">
        <v>84</v>
      </c>
      <c r="K22" s="12" t="s">
        <v>84</v>
      </c>
      <c r="L22" s="12" t="s">
        <v>84</v>
      </c>
      <c r="M22" s="12" t="s">
        <v>84</v>
      </c>
      <c r="N22" s="12"/>
      <c r="O22" s="12" t="s">
        <v>88</v>
      </c>
      <c r="P22" s="12" t="s">
        <v>84</v>
      </c>
      <c r="Q22" s="12" t="s">
        <v>84</v>
      </c>
      <c r="R22" s="12" t="s">
        <v>84</v>
      </c>
      <c r="S22" s="12" t="s">
        <v>84</v>
      </c>
      <c r="T22" s="12" t="s">
        <v>91</v>
      </c>
      <c r="U22" s="12"/>
      <c r="V22" s="12" t="s">
        <v>84</v>
      </c>
      <c r="W22" s="12" t="s">
        <v>84</v>
      </c>
      <c r="X22" s="12" t="s">
        <v>89</v>
      </c>
      <c r="Y22" s="12" t="s">
        <v>84</v>
      </c>
      <c r="Z22" s="12" t="s">
        <v>85</v>
      </c>
      <c r="AA22" s="12" t="s">
        <v>85</v>
      </c>
      <c r="AB22" s="12"/>
      <c r="AC22" s="12" t="s">
        <v>84</v>
      </c>
      <c r="AD22" s="12" t="s">
        <v>84</v>
      </c>
      <c r="AE22" s="12" t="s">
        <v>84</v>
      </c>
      <c r="AF22" s="12" t="s">
        <v>84</v>
      </c>
      <c r="AG22" s="12" t="s">
        <v>84</v>
      </c>
      <c r="AH22" s="12" t="s">
        <v>84</v>
      </c>
      <c r="AI22" s="12"/>
      <c r="AJ22" s="12"/>
      <c r="AK22" s="12"/>
      <c r="AL22" s="12"/>
      <c r="AM22" s="12">
        <f t="shared" si="3"/>
        <v>4</v>
      </c>
      <c r="AN22" s="12">
        <f t="shared" si="4"/>
        <v>17</v>
      </c>
      <c r="AO22" s="12">
        <f t="shared" si="5"/>
        <v>3</v>
      </c>
      <c r="AP22" s="12">
        <f t="shared" si="6"/>
        <v>1</v>
      </c>
      <c r="AQ22" s="12">
        <f t="shared" si="7"/>
        <v>2</v>
      </c>
      <c r="AR22" s="12">
        <f t="shared" si="8"/>
        <v>1</v>
      </c>
      <c r="AS22" s="23">
        <f>VLOOKUP(D22,'Personel Listesi'!B15:J35,9,0)*((SUM(AM22,AN22,AO22,AQ22)-SUM(AP22,AR22)))</f>
        <v>2760</v>
      </c>
      <c r="AT22" s="11"/>
      <c r="AU22" s="11"/>
      <c r="AV22" s="11"/>
      <c r="AW22" s="11"/>
    </row>
    <row r="23" spans="1:49" x14ac:dyDescent="0.25">
      <c r="A23" s="11"/>
      <c r="B23" s="11"/>
      <c r="C23" s="11"/>
      <c r="D23" s="24" t="str">
        <f>CONCATENATE('Personel Listesi'!C16," ",'Personel Listesi'!D16)</f>
        <v>Sibel Karadağ</v>
      </c>
      <c r="E23" s="26"/>
      <c r="F23" s="24" t="s">
        <v>11</v>
      </c>
      <c r="G23" s="25"/>
      <c r="H23" t="s">
        <v>85</v>
      </c>
      <c r="I23" s="12" t="s">
        <v>89</v>
      </c>
      <c r="J23" s="12" t="s">
        <v>84</v>
      </c>
      <c r="K23" s="12" t="s">
        <v>84</v>
      </c>
      <c r="L23" s="12" t="s">
        <v>84</v>
      </c>
      <c r="M23" s="12" t="s">
        <v>84</v>
      </c>
      <c r="N23" s="12"/>
      <c r="O23" s="12" t="s">
        <v>88</v>
      </c>
      <c r="P23" s="12" t="s">
        <v>84</v>
      </c>
      <c r="Q23" s="12" t="s">
        <v>84</v>
      </c>
      <c r="R23" s="12" t="s">
        <v>84</v>
      </c>
      <c r="S23" s="12" t="s">
        <v>84</v>
      </c>
      <c r="T23" s="12" t="s">
        <v>91</v>
      </c>
      <c r="U23" s="12"/>
      <c r="V23" s="12" t="s">
        <v>84</v>
      </c>
      <c r="W23" s="12" t="s">
        <v>84</v>
      </c>
      <c r="X23" s="12" t="s">
        <v>89</v>
      </c>
      <c r="Y23" s="12" t="s">
        <v>84</v>
      </c>
      <c r="Z23" s="12" t="s">
        <v>85</v>
      </c>
      <c r="AA23" s="12" t="s">
        <v>85</v>
      </c>
      <c r="AB23" s="12"/>
      <c r="AC23" s="12" t="s">
        <v>84</v>
      </c>
      <c r="AD23" s="12" t="s">
        <v>84</v>
      </c>
      <c r="AE23" s="12" t="s">
        <v>84</v>
      </c>
      <c r="AF23" s="12" t="s">
        <v>84</v>
      </c>
      <c r="AG23" s="12" t="s">
        <v>84</v>
      </c>
      <c r="AH23" s="12" t="s">
        <v>84</v>
      </c>
      <c r="AI23" s="12"/>
      <c r="AJ23" s="12"/>
      <c r="AK23" s="12"/>
      <c r="AL23" s="12"/>
      <c r="AM23" s="12">
        <f t="shared" si="3"/>
        <v>4</v>
      </c>
      <c r="AN23" s="12">
        <f t="shared" si="4"/>
        <v>17</v>
      </c>
      <c r="AO23" s="12">
        <f t="shared" si="5"/>
        <v>3</v>
      </c>
      <c r="AP23" s="12">
        <f t="shared" si="6"/>
        <v>1</v>
      </c>
      <c r="AQ23" s="12">
        <f t="shared" si="7"/>
        <v>2</v>
      </c>
      <c r="AR23" s="12">
        <f t="shared" si="8"/>
        <v>1</v>
      </c>
      <c r="AS23" s="23">
        <f>VLOOKUP(D23,'Personel Listesi'!B16:J36,9,0)*((SUM(AM23,AN23,AO23,AQ23)-SUM(AP23,AR23)))</f>
        <v>2880</v>
      </c>
      <c r="AT23" s="11"/>
      <c r="AU23" s="11"/>
      <c r="AV23" s="11"/>
      <c r="AW23" s="11"/>
    </row>
    <row r="24" spans="1:49" x14ac:dyDescent="0.25">
      <c r="A24" s="11"/>
      <c r="B24" s="11"/>
      <c r="C24" s="11"/>
      <c r="D24" s="24" t="str">
        <f>CONCATENATE('Personel Listesi'!C17," ",'Personel Listesi'!D17)</f>
        <v>Gülce Kalecikli</v>
      </c>
      <c r="E24" s="26"/>
      <c r="F24" s="24" t="s">
        <v>16</v>
      </c>
      <c r="G24" s="25"/>
      <c r="H24" t="s">
        <v>85</v>
      </c>
      <c r="I24" s="12" t="s">
        <v>84</v>
      </c>
      <c r="J24" s="12" t="s">
        <v>84</v>
      </c>
      <c r="K24" s="12" t="s">
        <v>84</v>
      </c>
      <c r="L24" s="12" t="s">
        <v>84</v>
      </c>
      <c r="M24" s="12" t="s">
        <v>84</v>
      </c>
      <c r="N24" s="12"/>
      <c r="O24" s="12" t="s">
        <v>84</v>
      </c>
      <c r="P24" s="12" t="s">
        <v>84</v>
      </c>
      <c r="Q24" s="12" t="s">
        <v>84</v>
      </c>
      <c r="R24" s="12" t="s">
        <v>84</v>
      </c>
      <c r="S24" s="12" t="s">
        <v>84</v>
      </c>
      <c r="T24" s="12" t="s">
        <v>91</v>
      </c>
      <c r="U24" s="12"/>
      <c r="V24" s="12" t="s">
        <v>84</v>
      </c>
      <c r="W24" s="12" t="s">
        <v>84</v>
      </c>
      <c r="X24" s="12" t="s">
        <v>89</v>
      </c>
      <c r="Y24" s="12" t="s">
        <v>84</v>
      </c>
      <c r="Z24" s="12" t="s">
        <v>85</v>
      </c>
      <c r="AA24" s="12" t="s">
        <v>85</v>
      </c>
      <c r="AB24" s="12"/>
      <c r="AC24" s="12" t="s">
        <v>84</v>
      </c>
      <c r="AD24" s="12" t="s">
        <v>84</v>
      </c>
      <c r="AE24" s="12" t="s">
        <v>84</v>
      </c>
      <c r="AF24" s="12" t="s">
        <v>84</v>
      </c>
      <c r="AG24" s="12" t="s">
        <v>84</v>
      </c>
      <c r="AH24" s="12" t="s">
        <v>84</v>
      </c>
      <c r="AI24" s="12"/>
      <c r="AJ24" s="12"/>
      <c r="AK24" s="12"/>
      <c r="AL24" s="12"/>
      <c r="AM24" s="12">
        <f t="shared" si="3"/>
        <v>4</v>
      </c>
      <c r="AN24" s="12">
        <f t="shared" si="4"/>
        <v>19</v>
      </c>
      <c r="AO24" s="12">
        <f t="shared" si="5"/>
        <v>3</v>
      </c>
      <c r="AP24" s="12">
        <f t="shared" si="6"/>
        <v>0</v>
      </c>
      <c r="AQ24" s="12">
        <f t="shared" si="7"/>
        <v>1</v>
      </c>
      <c r="AR24" s="12">
        <f t="shared" si="8"/>
        <v>1</v>
      </c>
      <c r="AS24" s="23">
        <f>VLOOKUP(D24,'Personel Listesi'!B17:J37,9,0)*((SUM(AM24,AN24,AO24,AQ24)-SUM(AP24,AR24)))</f>
        <v>3380</v>
      </c>
      <c r="AT24" s="11"/>
      <c r="AU24" s="11"/>
      <c r="AV24" s="11"/>
      <c r="AW24" s="11"/>
    </row>
    <row r="25" spans="1:49" x14ac:dyDescent="0.25">
      <c r="A25" s="11"/>
      <c r="B25" s="11"/>
      <c r="C25" s="11"/>
      <c r="D25" s="24" t="str">
        <f>CONCATENATE('Personel Listesi'!C18," ",'Personel Listesi'!D18)</f>
        <v>Emre Sel</v>
      </c>
      <c r="E25" s="26"/>
      <c r="F25" s="24" t="s">
        <v>21</v>
      </c>
      <c r="G25" s="25"/>
      <c r="H25" t="s">
        <v>85</v>
      </c>
      <c r="I25" s="12" t="s">
        <v>84</v>
      </c>
      <c r="J25" s="12" t="s">
        <v>84</v>
      </c>
      <c r="K25" s="12" t="s">
        <v>84</v>
      </c>
      <c r="L25" s="12" t="s">
        <v>84</v>
      </c>
      <c r="M25" s="12" t="s">
        <v>84</v>
      </c>
      <c r="N25" s="12"/>
      <c r="O25" s="12" t="s">
        <v>88</v>
      </c>
      <c r="P25" s="12" t="s">
        <v>84</v>
      </c>
      <c r="Q25" s="12" t="s">
        <v>84</v>
      </c>
      <c r="R25" s="12" t="s">
        <v>84</v>
      </c>
      <c r="S25" s="12" t="s">
        <v>84</v>
      </c>
      <c r="T25" s="12" t="s">
        <v>91</v>
      </c>
      <c r="U25" s="12"/>
      <c r="V25" s="12" t="s">
        <v>84</v>
      </c>
      <c r="W25" s="12" t="s">
        <v>84</v>
      </c>
      <c r="X25" s="12" t="s">
        <v>89</v>
      </c>
      <c r="Y25" s="12" t="s">
        <v>84</v>
      </c>
      <c r="Z25" s="12" t="s">
        <v>85</v>
      </c>
      <c r="AA25" s="12" t="s">
        <v>85</v>
      </c>
      <c r="AB25" s="12"/>
      <c r="AC25" s="12" t="s">
        <v>84</v>
      </c>
      <c r="AD25" s="12" t="s">
        <v>84</v>
      </c>
      <c r="AE25" s="12" t="s">
        <v>84</v>
      </c>
      <c r="AF25" s="12" t="s">
        <v>84</v>
      </c>
      <c r="AG25" s="12" t="s">
        <v>84</v>
      </c>
      <c r="AH25" s="12" t="s">
        <v>84</v>
      </c>
      <c r="AI25" s="12"/>
      <c r="AJ25" s="12"/>
      <c r="AK25" s="12"/>
      <c r="AL25" s="12"/>
      <c r="AM25" s="12">
        <f t="shared" si="3"/>
        <v>4</v>
      </c>
      <c r="AN25" s="12">
        <f t="shared" si="4"/>
        <v>18</v>
      </c>
      <c r="AO25" s="12">
        <f t="shared" si="5"/>
        <v>3</v>
      </c>
      <c r="AP25" s="12">
        <f t="shared" si="6"/>
        <v>1</v>
      </c>
      <c r="AQ25" s="12">
        <f t="shared" si="7"/>
        <v>1</v>
      </c>
      <c r="AR25" s="12">
        <f t="shared" si="8"/>
        <v>1</v>
      </c>
      <c r="AS25" s="23">
        <f>VLOOKUP(D25,'Personel Listesi'!B18:J38,9,0)*((SUM(AM25,AN25,AO25,AQ25)-SUM(AP25,AR25)))</f>
        <v>3576</v>
      </c>
      <c r="AT25" s="11"/>
      <c r="AU25" s="11"/>
      <c r="AV25" s="11"/>
      <c r="AW25" s="11"/>
    </row>
    <row r="26" spans="1:49" x14ac:dyDescent="0.25">
      <c r="A26" s="11"/>
      <c r="B26" s="11"/>
      <c r="C26" s="11"/>
      <c r="D26" s="24" t="str">
        <f>CONCATENATE('Personel Listesi'!C19," ",'Personel Listesi'!D19)</f>
        <v>Emre  Ağmil</v>
      </c>
      <c r="E26" s="26"/>
      <c r="F26" s="24" t="s">
        <v>11</v>
      </c>
      <c r="G26" s="25"/>
      <c r="H26" t="s">
        <v>85</v>
      </c>
      <c r="I26" s="12" t="s">
        <v>84</v>
      </c>
      <c r="J26" s="12" t="s">
        <v>88</v>
      </c>
      <c r="K26" s="12" t="s">
        <v>84</v>
      </c>
      <c r="L26" s="12" t="s">
        <v>84</v>
      </c>
      <c r="M26" s="12" t="s">
        <v>84</v>
      </c>
      <c r="N26" s="12"/>
      <c r="O26" s="12" t="s">
        <v>84</v>
      </c>
      <c r="P26" s="12" t="s">
        <v>84</v>
      </c>
      <c r="Q26" s="12" t="s">
        <v>84</v>
      </c>
      <c r="R26" s="12" t="s">
        <v>84</v>
      </c>
      <c r="S26" s="12" t="s">
        <v>84</v>
      </c>
      <c r="T26" s="12" t="s">
        <v>91</v>
      </c>
      <c r="U26" s="12"/>
      <c r="V26" s="12" t="s">
        <v>84</v>
      </c>
      <c r="W26" s="12" t="s">
        <v>84</v>
      </c>
      <c r="X26" s="12" t="s">
        <v>89</v>
      </c>
      <c r="Y26" s="12" t="s">
        <v>84</v>
      </c>
      <c r="Z26" s="12" t="s">
        <v>85</v>
      </c>
      <c r="AA26" s="12" t="s">
        <v>85</v>
      </c>
      <c r="AB26" s="12"/>
      <c r="AC26" s="12" t="s">
        <v>84</v>
      </c>
      <c r="AD26" s="12" t="s">
        <v>84</v>
      </c>
      <c r="AE26" s="12" t="s">
        <v>84</v>
      </c>
      <c r="AF26" s="12" t="s">
        <v>84</v>
      </c>
      <c r="AG26" s="12" t="s">
        <v>84</v>
      </c>
      <c r="AH26" s="12" t="s">
        <v>84</v>
      </c>
      <c r="AI26" s="12"/>
      <c r="AJ26" s="12"/>
      <c r="AK26" s="12"/>
      <c r="AL26" s="12"/>
      <c r="AM26" s="12">
        <f t="shared" si="3"/>
        <v>4</v>
      </c>
      <c r="AN26" s="12">
        <f t="shared" si="4"/>
        <v>18</v>
      </c>
      <c r="AO26" s="12">
        <f t="shared" si="5"/>
        <v>3</v>
      </c>
      <c r="AP26" s="12">
        <f t="shared" si="6"/>
        <v>1</v>
      </c>
      <c r="AQ26" s="12">
        <f t="shared" si="7"/>
        <v>1</v>
      </c>
      <c r="AR26" s="12">
        <f t="shared" si="8"/>
        <v>1</v>
      </c>
      <c r="AS26" s="23">
        <f>VLOOKUP(D26,'Personel Listesi'!B19:J39,9,0)*((SUM(AM26,AN26,AO26,AQ26)-SUM(AP26,AR26)))</f>
        <v>3600</v>
      </c>
      <c r="AT26" s="11"/>
      <c r="AU26" s="11"/>
      <c r="AV26" s="11"/>
      <c r="AW26" s="11"/>
    </row>
    <row r="27" spans="1:49" x14ac:dyDescent="0.25">
      <c r="A27" s="11"/>
      <c r="B27" s="11"/>
      <c r="C27" s="11"/>
      <c r="D27" s="24" t="str">
        <f>CONCATENATE('Personel Listesi'!C20," ",'Personel Listesi'!D20)</f>
        <v>Betül  Alpaslan</v>
      </c>
      <c r="E27" s="26"/>
      <c r="F27" s="24" t="s">
        <v>11</v>
      </c>
      <c r="G27" s="25"/>
      <c r="H27" t="s">
        <v>85</v>
      </c>
      <c r="I27" s="12" t="s">
        <v>84</v>
      </c>
      <c r="J27" s="12" t="s">
        <v>88</v>
      </c>
      <c r="K27" s="12" t="s">
        <v>84</v>
      </c>
      <c r="L27" s="12" t="s">
        <v>84</v>
      </c>
      <c r="M27" s="12" t="s">
        <v>84</v>
      </c>
      <c r="N27" s="12"/>
      <c r="O27" s="12" t="s">
        <v>84</v>
      </c>
      <c r="P27" s="12" t="s">
        <v>84</v>
      </c>
      <c r="Q27" s="12" t="s">
        <v>84</v>
      </c>
      <c r="R27" s="12" t="s">
        <v>84</v>
      </c>
      <c r="S27" s="12" t="s">
        <v>84</v>
      </c>
      <c r="T27" s="12" t="s">
        <v>91</v>
      </c>
      <c r="U27" s="12"/>
      <c r="V27" s="12" t="s">
        <v>84</v>
      </c>
      <c r="W27" s="12" t="s">
        <v>84</v>
      </c>
      <c r="X27" s="12" t="s">
        <v>89</v>
      </c>
      <c r="Y27" s="12" t="s">
        <v>84</v>
      </c>
      <c r="Z27" s="12" t="s">
        <v>85</v>
      </c>
      <c r="AA27" s="12" t="s">
        <v>85</v>
      </c>
      <c r="AB27" s="12"/>
      <c r="AC27" s="12" t="s">
        <v>84</v>
      </c>
      <c r="AD27" s="12" t="s">
        <v>84</v>
      </c>
      <c r="AE27" s="12" t="s">
        <v>84</v>
      </c>
      <c r="AF27" s="12" t="s">
        <v>84</v>
      </c>
      <c r="AG27" s="12" t="s">
        <v>84</v>
      </c>
      <c r="AH27" s="12" t="s">
        <v>84</v>
      </c>
      <c r="AI27" s="12"/>
      <c r="AJ27" s="12"/>
      <c r="AK27" s="12"/>
      <c r="AL27" s="12"/>
      <c r="AM27" s="12">
        <f t="shared" si="3"/>
        <v>4</v>
      </c>
      <c r="AN27" s="12">
        <f t="shared" si="4"/>
        <v>18</v>
      </c>
      <c r="AO27" s="12">
        <f t="shared" si="5"/>
        <v>3</v>
      </c>
      <c r="AP27" s="12">
        <f t="shared" si="6"/>
        <v>1</v>
      </c>
      <c r="AQ27" s="12">
        <f t="shared" si="7"/>
        <v>1</v>
      </c>
      <c r="AR27" s="12">
        <f t="shared" si="8"/>
        <v>1</v>
      </c>
      <c r="AS27" s="23">
        <f>VLOOKUP(D27,'Personel Listesi'!B20:J40,9,0)*((SUM(AM27,AN27,AO27,AQ27)-SUM(AP27,AR27)))</f>
        <v>3120</v>
      </c>
      <c r="AT27" s="11"/>
      <c r="AU27" s="11"/>
      <c r="AV27" s="11"/>
      <c r="AW27" s="11"/>
    </row>
    <row r="28" spans="1:49" x14ac:dyDescent="0.25">
      <c r="A28" s="11"/>
      <c r="B28" s="11"/>
      <c r="C28" s="11"/>
      <c r="D28" s="24" t="str">
        <f>CONCATENATE('Personel Listesi'!C21," ",'Personel Listesi'!D21)</f>
        <v>Bekir  Çolak</v>
      </c>
      <c r="E28" s="26"/>
      <c r="F28" s="24" t="s">
        <v>11</v>
      </c>
      <c r="G28" s="25"/>
      <c r="H28" t="s">
        <v>85</v>
      </c>
      <c r="I28" s="12" t="s">
        <v>84</v>
      </c>
      <c r="J28" s="12" t="s">
        <v>88</v>
      </c>
      <c r="K28" s="12" t="s">
        <v>84</v>
      </c>
      <c r="L28" s="12" t="s">
        <v>84</v>
      </c>
      <c r="M28" s="12" t="s">
        <v>84</v>
      </c>
      <c r="N28" s="12"/>
      <c r="O28" s="12" t="s">
        <v>84</v>
      </c>
      <c r="P28" s="12" t="s">
        <v>84</v>
      </c>
      <c r="Q28" s="12" t="s">
        <v>84</v>
      </c>
      <c r="R28" s="12" t="s">
        <v>84</v>
      </c>
      <c r="S28" s="12" t="s">
        <v>84</v>
      </c>
      <c r="T28" s="12" t="s">
        <v>91</v>
      </c>
      <c r="U28" s="12"/>
      <c r="V28" s="12" t="s">
        <v>84</v>
      </c>
      <c r="W28" s="12" t="s">
        <v>84</v>
      </c>
      <c r="X28" s="12" t="s">
        <v>89</v>
      </c>
      <c r="Y28" s="12" t="s">
        <v>84</v>
      </c>
      <c r="Z28" s="12" t="s">
        <v>85</v>
      </c>
      <c r="AA28" s="12" t="s">
        <v>85</v>
      </c>
      <c r="AB28" s="12"/>
      <c r="AC28" s="12" t="s">
        <v>84</v>
      </c>
      <c r="AD28" s="12" t="s">
        <v>84</v>
      </c>
      <c r="AE28" s="12" t="s">
        <v>84</v>
      </c>
      <c r="AF28" s="12" t="s">
        <v>84</v>
      </c>
      <c r="AG28" s="12" t="s">
        <v>84</v>
      </c>
      <c r="AH28" s="12" t="s">
        <v>84</v>
      </c>
      <c r="AI28" s="12"/>
      <c r="AJ28" s="12"/>
      <c r="AK28" s="12"/>
      <c r="AL28" s="12"/>
      <c r="AM28" s="12">
        <f t="shared" si="3"/>
        <v>4</v>
      </c>
      <c r="AN28" s="12">
        <f t="shared" si="4"/>
        <v>18</v>
      </c>
      <c r="AO28" s="12">
        <f t="shared" si="5"/>
        <v>3</v>
      </c>
      <c r="AP28" s="12">
        <f t="shared" si="6"/>
        <v>1</v>
      </c>
      <c r="AQ28" s="12">
        <f t="shared" si="7"/>
        <v>1</v>
      </c>
      <c r="AR28" s="12">
        <f t="shared" si="8"/>
        <v>1</v>
      </c>
      <c r="AS28" s="23">
        <f>VLOOKUP(D28,'Personel Listesi'!B21:J41,9,0)*((SUM(AM28,AN28,AO28,AQ28)-SUM(AP28,AR28)))</f>
        <v>2352</v>
      </c>
      <c r="AT28" s="11"/>
      <c r="AU28" s="11"/>
      <c r="AV28" s="11"/>
      <c r="AW28" s="11"/>
    </row>
    <row r="29" spans="1:49" x14ac:dyDescent="0.25">
      <c r="A29" s="11"/>
      <c r="B29" s="11"/>
      <c r="C29" s="11"/>
      <c r="D29" s="24" t="str">
        <f>CONCATENATE('Personel Listesi'!C22," ",'Personel Listesi'!D22)</f>
        <v>Emine  Karahan</v>
      </c>
      <c r="E29" s="26"/>
      <c r="F29" s="24" t="s">
        <v>11</v>
      </c>
      <c r="G29" s="25"/>
      <c r="H29" t="s">
        <v>85</v>
      </c>
      <c r="I29" s="12" t="s">
        <v>84</v>
      </c>
      <c r="J29" s="12" t="s">
        <v>88</v>
      </c>
      <c r="K29" s="12" t="s">
        <v>84</v>
      </c>
      <c r="L29" s="12" t="s">
        <v>84</v>
      </c>
      <c r="M29" s="12" t="s">
        <v>84</v>
      </c>
      <c r="N29" s="12"/>
      <c r="O29" s="12" t="s">
        <v>84</v>
      </c>
      <c r="P29" s="12" t="s">
        <v>84</v>
      </c>
      <c r="Q29" s="12" t="s">
        <v>84</v>
      </c>
      <c r="R29" s="12" t="s">
        <v>84</v>
      </c>
      <c r="S29" s="12" t="s">
        <v>84</v>
      </c>
      <c r="T29" s="12" t="s">
        <v>91</v>
      </c>
      <c r="U29" s="12"/>
      <c r="V29" s="12" t="s">
        <v>84</v>
      </c>
      <c r="W29" s="12" t="s">
        <v>84</v>
      </c>
      <c r="X29" s="12" t="s">
        <v>89</v>
      </c>
      <c r="Y29" s="12" t="s">
        <v>84</v>
      </c>
      <c r="Z29" s="12" t="s">
        <v>85</v>
      </c>
      <c r="AA29" s="12" t="s">
        <v>85</v>
      </c>
      <c r="AB29" s="12"/>
      <c r="AC29" s="12" t="s">
        <v>84</v>
      </c>
      <c r="AD29" s="12" t="s">
        <v>84</v>
      </c>
      <c r="AE29" s="12" t="s">
        <v>84</v>
      </c>
      <c r="AF29" s="12" t="s">
        <v>84</v>
      </c>
      <c r="AG29" s="12" t="s">
        <v>84</v>
      </c>
      <c r="AH29" s="12" t="s">
        <v>84</v>
      </c>
      <c r="AI29" s="12"/>
      <c r="AJ29" s="12"/>
      <c r="AK29" s="12"/>
      <c r="AL29" s="12"/>
      <c r="AM29" s="12">
        <f t="shared" si="3"/>
        <v>4</v>
      </c>
      <c r="AN29" s="12">
        <f t="shared" si="4"/>
        <v>18</v>
      </c>
      <c r="AO29" s="12">
        <f t="shared" si="5"/>
        <v>3</v>
      </c>
      <c r="AP29" s="12">
        <f t="shared" si="6"/>
        <v>1</v>
      </c>
      <c r="AQ29" s="12">
        <f t="shared" si="7"/>
        <v>1</v>
      </c>
      <c r="AR29" s="12">
        <f t="shared" si="8"/>
        <v>1</v>
      </c>
      <c r="AS29" s="23">
        <f>VLOOKUP(D29,'Personel Listesi'!B22:J42,9,0)*((SUM(AM29,AN29,AO29,AQ29)-SUM(AP29,AR29)))</f>
        <v>2520</v>
      </c>
      <c r="AT29" s="11"/>
      <c r="AU29" s="11"/>
      <c r="AV29" s="11"/>
      <c r="AW29" s="11"/>
    </row>
    <row r="30" spans="1:49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</sheetData>
  <mergeCells count="87">
    <mergeCell ref="T5:T8"/>
    <mergeCell ref="U5:U8"/>
    <mergeCell ref="V5:V8"/>
    <mergeCell ref="W5:W8"/>
    <mergeCell ref="L5:L8"/>
    <mergeCell ref="M5:M8"/>
    <mergeCell ref="N5:N8"/>
    <mergeCell ref="O5:O8"/>
    <mergeCell ref="P5:P8"/>
    <mergeCell ref="Q5:Q8"/>
    <mergeCell ref="AI5:AI8"/>
    <mergeCell ref="X5:X8"/>
    <mergeCell ref="Y5:Y8"/>
    <mergeCell ref="Z5:Z8"/>
    <mergeCell ref="AA5:AA8"/>
    <mergeCell ref="AB5:AB8"/>
    <mergeCell ref="AC5:AC8"/>
    <mergeCell ref="D12:E12"/>
    <mergeCell ref="AQ5:AQ8"/>
    <mergeCell ref="AR5:AR8"/>
    <mergeCell ref="AS5:AS8"/>
    <mergeCell ref="AO5:AO8"/>
    <mergeCell ref="AJ5:AJ8"/>
    <mergeCell ref="AK5:AK8"/>
    <mergeCell ref="AL5:AL8"/>
    <mergeCell ref="AM5:AM8"/>
    <mergeCell ref="AN5:AN8"/>
    <mergeCell ref="AP5:AP8"/>
    <mergeCell ref="AD5:AD8"/>
    <mergeCell ref="AE5:AE8"/>
    <mergeCell ref="AF5:AF8"/>
    <mergeCell ref="AG5:AG8"/>
    <mergeCell ref="AH5:AH8"/>
    <mergeCell ref="K2:M2"/>
    <mergeCell ref="Q1:S1"/>
    <mergeCell ref="D9:E9"/>
    <mergeCell ref="D10:E10"/>
    <mergeCell ref="D11:E11"/>
    <mergeCell ref="D1:E1"/>
    <mergeCell ref="D2:E2"/>
    <mergeCell ref="K1:M1"/>
    <mergeCell ref="R5:R8"/>
    <mergeCell ref="S5:S8"/>
    <mergeCell ref="D5:E8"/>
    <mergeCell ref="F5:G8"/>
    <mergeCell ref="H5:H8"/>
    <mergeCell ref="I5:I8"/>
    <mergeCell ref="J5:J8"/>
    <mergeCell ref="K5:K8"/>
    <mergeCell ref="D24:E24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5:E25"/>
    <mergeCell ref="D26:E26"/>
    <mergeCell ref="D27:E27"/>
    <mergeCell ref="D28:E28"/>
    <mergeCell ref="D29:E29"/>
    <mergeCell ref="F15:G15"/>
    <mergeCell ref="F16:G16"/>
    <mergeCell ref="F17:G17"/>
    <mergeCell ref="F18:G18"/>
    <mergeCell ref="F19:G19"/>
    <mergeCell ref="F26:G26"/>
    <mergeCell ref="F27:G27"/>
    <mergeCell ref="F28:G28"/>
    <mergeCell ref="F29:G29"/>
    <mergeCell ref="F9:G9"/>
    <mergeCell ref="F10:G10"/>
    <mergeCell ref="F11:G11"/>
    <mergeCell ref="F12:G12"/>
    <mergeCell ref="F13:G13"/>
    <mergeCell ref="F20:G20"/>
    <mergeCell ref="F21:G21"/>
    <mergeCell ref="F22:G22"/>
    <mergeCell ref="F23:G23"/>
    <mergeCell ref="F24:G24"/>
    <mergeCell ref="F25:G25"/>
    <mergeCell ref="F14:G14"/>
  </mergeCells>
  <conditionalFormatting sqref="I9:AL29">
    <cfRule type="expression" dxfId="0" priority="5">
      <formula>I$4=7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Veri!$A$2:$A$10</xm:f>
          </x14:formula1>
          <xm:sqref>F1</xm:sqref>
        </x14:dataValidation>
        <x14:dataValidation type="list" allowBlank="1" showInputMessage="1" showErrorMessage="1">
          <x14:formula1>
            <xm:f>Veri!$B$2:$B$13</xm:f>
          </x14:formula1>
          <xm:sqref>F2:F3</xm:sqref>
        </x14:dataValidation>
        <x14:dataValidation type="list" allowBlank="1" showInputMessage="1" showErrorMessage="1">
          <x14:formula1>
            <xm:f>Veri!$C$2:$C$6</xm:f>
          </x14:formula1>
          <xm:sqref>H9:AL29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7" sqref="C7"/>
    </sheetView>
  </sheetViews>
  <sheetFormatPr defaultRowHeight="15" x14ac:dyDescent="0.25"/>
  <cols>
    <col min="1" max="1" width="8.85546875" style="9"/>
    <col min="2" max="2" width="22.85546875" style="10" bestFit="1" customWidth="1"/>
  </cols>
  <sheetData>
    <row r="1" spans="1:3" x14ac:dyDescent="0.25">
      <c r="A1" s="6" t="s">
        <v>69</v>
      </c>
      <c r="B1" s="7" t="s">
        <v>70</v>
      </c>
      <c r="C1" s="8" t="s">
        <v>71</v>
      </c>
    </row>
    <row r="2" spans="1:3" x14ac:dyDescent="0.25">
      <c r="A2" s="9">
        <f t="shared" ref="A2:A8" ca="1" si="0">A3-1</f>
        <v>2018</v>
      </c>
      <c r="B2" s="15">
        <f>DATE('Puantaj Programı Oluşturmak'!F1,1,1)</f>
        <v>44197</v>
      </c>
      <c r="C2" t="str">
        <f>'Puantaj Programı Oluşturmak'!H1</f>
        <v>Ç</v>
      </c>
    </row>
    <row r="3" spans="1:3" x14ac:dyDescent="0.25">
      <c r="A3" s="9">
        <f t="shared" ca="1" si="0"/>
        <v>2019</v>
      </c>
      <c r="B3" s="15">
        <f>EDATE(B2,1)</f>
        <v>44228</v>
      </c>
      <c r="C3" t="str">
        <f>'Puantaj Programı Oluşturmak'!H2</f>
        <v>Yİ</v>
      </c>
    </row>
    <row r="4" spans="1:3" x14ac:dyDescent="0.25">
      <c r="A4" s="9">
        <f t="shared" ca="1" si="0"/>
        <v>2020</v>
      </c>
      <c r="B4" s="15">
        <f t="shared" ref="B4:B13" si="1">EDATE(B3,1)</f>
        <v>44256</v>
      </c>
      <c r="C4" t="str">
        <f>'Puantaj Programı Oluşturmak'!N1</f>
        <v>R</v>
      </c>
    </row>
    <row r="5" spans="1:3" x14ac:dyDescent="0.25">
      <c r="A5" s="9">
        <f t="shared" ca="1" si="0"/>
        <v>2021</v>
      </c>
      <c r="B5" s="15">
        <f t="shared" si="1"/>
        <v>44287</v>
      </c>
      <c r="C5" t="str">
        <f>'Puantaj Programı Oluşturmak'!N2</f>
        <v>RT</v>
      </c>
    </row>
    <row r="6" spans="1:3" x14ac:dyDescent="0.25">
      <c r="A6" s="9">
        <f t="shared" ca="1" si="0"/>
        <v>2022</v>
      </c>
      <c r="B6" s="15">
        <f t="shared" si="1"/>
        <v>44317</v>
      </c>
      <c r="C6" t="str">
        <f>'Puantaj Programı Oluşturmak'!T1</f>
        <v>Üİ</v>
      </c>
    </row>
    <row r="7" spans="1:3" x14ac:dyDescent="0.25">
      <c r="A7" s="9">
        <f t="shared" ca="1" si="0"/>
        <v>2023</v>
      </c>
      <c r="B7" s="15">
        <f t="shared" si="1"/>
        <v>44348</v>
      </c>
    </row>
    <row r="8" spans="1:3" x14ac:dyDescent="0.25">
      <c r="A8" s="9">
        <f t="shared" ca="1" si="0"/>
        <v>2024</v>
      </c>
      <c r="B8" s="15">
        <f t="shared" si="1"/>
        <v>44378</v>
      </c>
    </row>
    <row r="9" spans="1:3" x14ac:dyDescent="0.25">
      <c r="A9" s="9">
        <f ca="1">A10-1</f>
        <v>2025</v>
      </c>
      <c r="B9" s="15">
        <f t="shared" si="1"/>
        <v>44409</v>
      </c>
    </row>
    <row r="10" spans="1:3" x14ac:dyDescent="0.25">
      <c r="A10" s="9">
        <f ca="1">YEAR(TODAY())</f>
        <v>2026</v>
      </c>
      <c r="B10" s="15">
        <f t="shared" si="1"/>
        <v>44440</v>
      </c>
    </row>
    <row r="11" spans="1:3" x14ac:dyDescent="0.25">
      <c r="B11" s="15">
        <f>EDATE(B10,1)</f>
        <v>44470</v>
      </c>
    </row>
    <row r="12" spans="1:3" x14ac:dyDescent="0.25">
      <c r="B12" s="15">
        <f t="shared" si="1"/>
        <v>44501</v>
      </c>
    </row>
    <row r="13" spans="1:3" x14ac:dyDescent="0.25">
      <c r="B13" s="15">
        <f t="shared" si="1"/>
        <v>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Personel Listesi</vt:lpstr>
      <vt:lpstr>Puantaj Programı Oluşturmak</vt:lpstr>
      <vt:lpstr>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Mert Aslan</cp:lastModifiedBy>
  <dcterms:created xsi:type="dcterms:W3CDTF">2021-05-09T11:09:25Z</dcterms:created>
  <dcterms:modified xsi:type="dcterms:W3CDTF">2026-03-06T21:22:36Z</dcterms:modified>
</cp:coreProperties>
</file>